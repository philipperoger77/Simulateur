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Q:\RH permanents\PHILIPPE ROGER\EVOLIA\BULLETINS ET MARGES BY PHILIPPE\Industrie\MARGE 2026\Simulateur Python\"/>
    </mc:Choice>
  </mc:AlternateContent>
  <xr:revisionPtr revIDLastSave="0" documentId="13_ncr:1_{B48C727C-A1CA-4B95-9E38-10044B06A16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aux_Horaires" sheetId="1" r:id="rId1"/>
    <sheet name="Transport" sheetId="2" r:id="rId2"/>
    <sheet name="Trajet_Brut" sheetId="3" r:id="rId3"/>
    <sheet name="Repas_Soum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" l="1"/>
  <c r="G86" i="1"/>
  <c r="F86" i="1"/>
  <c r="E86" i="1"/>
  <c r="D86" i="1"/>
  <c r="C86" i="1"/>
  <c r="B86" i="1"/>
  <c r="H85" i="1"/>
  <c r="G85" i="1"/>
  <c r="F85" i="1"/>
  <c r="E85" i="1"/>
  <c r="D85" i="1"/>
  <c r="C85" i="1"/>
  <c r="B85" i="1"/>
  <c r="H76" i="1"/>
  <c r="G76" i="1"/>
  <c r="F76" i="1"/>
  <c r="E76" i="1"/>
  <c r="D76" i="1"/>
  <c r="H75" i="1"/>
  <c r="G75" i="1"/>
  <c r="F75" i="1"/>
  <c r="E75" i="1"/>
  <c r="D75" i="1"/>
  <c r="H71" i="1"/>
  <c r="G71" i="1"/>
  <c r="F71" i="1"/>
  <c r="E71" i="1"/>
  <c r="D71" i="1"/>
  <c r="H44" i="1"/>
  <c r="G44" i="1"/>
  <c r="F44" i="1"/>
  <c r="E44" i="1"/>
  <c r="D44" i="1"/>
  <c r="H40" i="1"/>
  <c r="G40" i="1"/>
  <c r="F40" i="1"/>
  <c r="E40" i="1"/>
  <c r="D40" i="1"/>
  <c r="H26" i="1"/>
  <c r="G26" i="1"/>
  <c r="F26" i="1"/>
  <c r="E26" i="1"/>
  <c r="D26" i="1"/>
  <c r="H14" i="1"/>
  <c r="G14" i="1"/>
  <c r="F14" i="1"/>
  <c r="E14" i="1"/>
  <c r="D14" i="1"/>
  <c r="C14" i="1"/>
  <c r="B14" i="1"/>
  <c r="H8" i="1"/>
  <c r="G8" i="1"/>
  <c r="F8" i="1"/>
  <c r="E8" i="1"/>
  <c r="D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<sst xmlns="http://schemas.openxmlformats.org/spreadsheetml/2006/main" count="408" uniqueCount="111">
  <si>
    <t>Département</t>
  </si>
  <si>
    <t>N1P1</t>
  </si>
  <si>
    <t>N1P2</t>
  </si>
  <si>
    <t>N2</t>
  </si>
  <si>
    <t>N3P1</t>
  </si>
  <si>
    <t>N4P1</t>
  </si>
  <si>
    <t>N4P2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</si>
  <si>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</si>
  <si>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</si>
  <si>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</si>
  <si>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</si>
  <si>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</si>
  <si>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</si>
  <si>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</si>
  <si>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</si>
  <si>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</si>
  <si>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</si>
  <si>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</si>
  <si>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</si>
  <si>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</si>
  <si>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</si>
  <si>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</si>
  <si>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</si>
  <si>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</si>
  <si>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</si>
  <si>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</si>
  <si>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</si>
  <si>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</si>
  <si>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</si>
  <si>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</si>
  <si>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</si>
  <si>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</si>
  <si>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</si>
  <si>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</si>
  <si>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</si>
  <si>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</si>
  <si>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</si>
  <si>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</si>
  <si>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</si>
  <si>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</si>
  <si>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</si>
  <si>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</si>
  <si>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</si>
  <si>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</si>
  <si>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</si>
  <si>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</si>
  <si>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</si>
  <si>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</si>
  <si>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</si>
  <si>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</si>
  <si>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</si>
  <si>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</si>
  <si>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</si>
  <si>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</si>
  <si>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</si>
  <si>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</si>
  <si>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</si>
  <si>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</si>
  <si>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</si>
  <si>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</si>
  <si>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</si>
  <si>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</si>
  <si>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</si>
  <si>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</si>
  <si>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</si>
  <si>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</si>
  <si>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</si>
  <si>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</si>
  <si>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</si>
  <si>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</si>
  <si>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</si>
  <si>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</si>
  <si>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</si>
  <si>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</si>
  <si>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</si>
  <si>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</si>
  <si>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</si>
  <si>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</si>
  <si>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</si>
  <si>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</si>
  <si>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</si>
  <si>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</si>
  <si>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</si>
  <si>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</si>
  <si>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</si>
  <si>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</si>
  <si>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</si>
  <si>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</si>
  <si>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</si>
  <si>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</si>
  <si>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</si>
  <si>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</si>
  <si>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</si>
  <si>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</si>
  <si>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</si>
  <si>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</si>
  <si>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</si>
  <si>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</si>
  <si>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</si>
  <si>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</si>
  <si>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</si>
  <si>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</si>
  <si>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</si>
  <si>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Zone_IA</t>
  </si>
  <si>
    <t>Zone_IB</t>
  </si>
  <si>
    <t>Zone_II</t>
  </si>
  <si>
    <t>Zone_III</t>
  </si>
  <si>
    <t>Zone_IV</t>
  </si>
  <si>
    <t>Zone_V</t>
  </si>
  <si>
    <t>N3P2</t>
  </si>
  <si>
    <t>Panier soumis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</si>
</sst>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0" fillId="2" borderId="1" xfId="1" applyFont="1" applyFill="1" applyBorder="1"/>
    <xf numFmtId="44" fontId="0" fillId="3" borderId="4" xfId="1" applyFont="1" applyFill="1" applyBorder="1"/>
    <xf numFmtId="44" fontId="0" fillId="3" borderId="1" xfId="1" applyFont="1" applyFill="1" applyBorder="1"/>
    <xf numFmtId="44" fontId="0" fillId="3" borderId="2" xfId="1" applyFont="1" applyFill="1" applyBorder="1"/>
    <xf numFmtId="44" fontId="0" fillId="4" borderId="4" xfId="1" applyFont="1" applyFill="1" applyBorder="1"/>
    <xf numFmtId="44" fontId="0" fillId="4" borderId="1" xfId="1" applyFont="1" applyFill="1" applyBorder="1"/>
    <xf numFmtId="44" fontId="0" fillId="4" borderId="2" xfId="1" applyFont="1" applyFill="1" applyBorder="1"/>
    <xf numFmtId="44" fontId="0" fillId="2" borderId="1" xfId="1" applyFont="1" applyFill="1" applyBorder="1" applyAlignment="1">
      <alignment horizontal="center"/>
    </xf>
    <xf numFmtId="49" fontId="2" fillId="0" borderId="3" xfId="0" applyNumberFormat="1" applyFont="1" applyBorder="1" applyAlignment="1">
      <alignment vertical="center"/>
    </xf>
    <xf numFmtId="49" fontId="0" fillId="0" borderId="0" xfId="0" applyNumberFormat="1"/>
    <xf numFmtId="0" fontId="2" fillId="0" borderId="3" xfId="0" applyFont="1" applyBorder="1" applyAlignment="1">
      <alignment horizontal="center" vertical="center" wrapText="1"/>
    </xf>
    <xf numFmtId="44" fontId="0" fillId="0" borderId="1" xfId="1" applyFont="1" applyBorder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workbookViewId="0"/>
  </sheetViews>
  <sheetFormatPr baseColWidth="10" defaultColWidth="9.140625" defaultRowHeight="15" x14ac:dyDescent="0.25"/>
  <cols>
    <col min="1" max="1" width="9.140625" style="11"/>
    <col min="2" max="8" width="8.42578125" bestFit="1" customWidth="1"/>
  </cols>
  <sheetData>
    <row r="1" spans="1:8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109</v>
      </c>
      <c r="G1" s="1" t="s">
        <v>5</v>
      </c>
      <c r="H1" s="1" t="s">
        <v>6</v>
      </c>
    </row>
    <row r="2" spans="1:8" x14ac:dyDescent="0.25">
      <c r="A2" s="11" t="s">
        <v>7</v>
      </c>
      <c r="B2" s="2">
        <v>12.02</v>
      </c>
      <c r="C2" s="2">
        <v>12.02</v>
      </c>
      <c r="D2" s="2">
        <f>1865/151.67</f>
        <v>12.296433045427573</v>
      </c>
      <c r="E2" s="2">
        <f>2060/151.67</f>
        <v>13.58211907430606</v>
      </c>
      <c r="F2" s="2">
        <f>2235/151.67</f>
        <v>14.73593986945342</v>
      </c>
      <c r="G2" s="2">
        <f>2403.6/151.67</f>
        <v>15.847563789806818</v>
      </c>
      <c r="H2" s="2">
        <f>2548.7/151.67</f>
        <v>16.804246060526143</v>
      </c>
    </row>
    <row r="3" spans="1:8" x14ac:dyDescent="0.25">
      <c r="A3" s="11" t="s">
        <v>8</v>
      </c>
      <c r="B3" s="2">
        <v>12.02</v>
      </c>
      <c r="C3" s="2">
        <v>12.09</v>
      </c>
      <c r="D3" s="2">
        <v>12.72</v>
      </c>
      <c r="E3" s="2">
        <v>13.74</v>
      </c>
      <c r="F3" s="2">
        <v>14.77</v>
      </c>
      <c r="G3" s="2">
        <v>16.07</v>
      </c>
      <c r="H3" s="2">
        <v>17.25</v>
      </c>
    </row>
    <row r="4" spans="1:8" x14ac:dyDescent="0.25">
      <c r="A4" s="11" t="s">
        <v>9</v>
      </c>
      <c r="B4" s="2">
        <v>12.02</v>
      </c>
      <c r="C4" s="2">
        <v>12.02</v>
      </c>
      <c r="D4" s="2">
        <v>12.3</v>
      </c>
      <c r="E4" s="2">
        <v>13.58</v>
      </c>
      <c r="F4" s="2">
        <v>14.74</v>
      </c>
      <c r="G4" s="2">
        <v>15.85</v>
      </c>
      <c r="H4" s="2">
        <v>16.8</v>
      </c>
    </row>
    <row r="5" spans="1:8" x14ac:dyDescent="0.25">
      <c r="A5" s="11" t="s">
        <v>10</v>
      </c>
      <c r="B5" s="2">
        <f>1837.8/151.67</f>
        <v>12.117096327553242</v>
      </c>
      <c r="C5" s="2">
        <f>1868.43/151.67</f>
        <v>12.319047933012463</v>
      </c>
      <c r="D5" s="2">
        <f>1975.12/151.67</f>
        <v>13.022483022351157</v>
      </c>
      <c r="E5" s="2">
        <f>2170.8/151.67</f>
        <v>14.312652469176504</v>
      </c>
      <c r="F5" s="2">
        <f>2340.59/151.67</f>
        <v>15.432122370936904</v>
      </c>
      <c r="G5" s="2">
        <f>2510.38/151.67</f>
        <v>16.551592272697306</v>
      </c>
      <c r="H5" s="2">
        <f>2680.18/151.67</f>
        <v>17.671128107074569</v>
      </c>
    </row>
    <row r="6" spans="1:8" x14ac:dyDescent="0.25">
      <c r="A6" s="11" t="s">
        <v>11</v>
      </c>
      <c r="B6" s="2">
        <f>1837.8/151.67</f>
        <v>12.117096327553242</v>
      </c>
      <c r="C6" s="2">
        <f>1868.43/151.67</f>
        <v>12.319047933012463</v>
      </c>
      <c r="D6" s="2">
        <f>1975.12/151.67</f>
        <v>13.022483022351157</v>
      </c>
      <c r="E6" s="2">
        <f>2170.8/151.67</f>
        <v>14.312652469176504</v>
      </c>
      <c r="F6" s="2">
        <f>2340.59/151.67</f>
        <v>15.432122370936904</v>
      </c>
      <c r="G6" s="2">
        <f>2510.38/151.67</f>
        <v>16.551592272697306</v>
      </c>
      <c r="H6" s="2">
        <f>2680.18/151.67</f>
        <v>17.671128107074569</v>
      </c>
    </row>
    <row r="7" spans="1:8" x14ac:dyDescent="0.25">
      <c r="A7" s="11" t="s">
        <v>12</v>
      </c>
      <c r="B7" s="2">
        <f>1837.8/151.67</f>
        <v>12.117096327553242</v>
      </c>
      <c r="C7" s="2">
        <f>1868.43/151.67</f>
        <v>12.319047933012463</v>
      </c>
      <c r="D7" s="2">
        <f>1975.12/151.67</f>
        <v>13.022483022351157</v>
      </c>
      <c r="E7" s="2">
        <f>2170.8/151.67</f>
        <v>14.312652469176504</v>
      </c>
      <c r="F7" s="2">
        <f>2340.59/151.67</f>
        <v>15.432122370936904</v>
      </c>
      <c r="G7" s="2">
        <f>2510.38/151.67</f>
        <v>16.551592272697306</v>
      </c>
      <c r="H7" s="2">
        <f>2680.18/151.67</f>
        <v>17.671128107074569</v>
      </c>
    </row>
    <row r="8" spans="1:8" x14ac:dyDescent="0.25">
      <c r="A8" s="11" t="s">
        <v>13</v>
      </c>
      <c r="B8" s="2">
        <v>12.02</v>
      </c>
      <c r="C8" s="2">
        <v>12.02</v>
      </c>
      <c r="D8" s="2">
        <f>1865/151.67</f>
        <v>12.296433045427573</v>
      </c>
      <c r="E8" s="2">
        <f>2060/151.67</f>
        <v>13.58211907430606</v>
      </c>
      <c r="F8" s="2">
        <f>2235/151.67</f>
        <v>14.73593986945342</v>
      </c>
      <c r="G8" s="2">
        <f>2403.6/151.67</f>
        <v>15.847563789806818</v>
      </c>
      <c r="H8" s="2">
        <f>2548.7/151.67</f>
        <v>16.804246060526143</v>
      </c>
    </row>
    <row r="9" spans="1:8" x14ac:dyDescent="0.25">
      <c r="A9" s="11" t="s">
        <v>14</v>
      </c>
      <c r="B9" s="2">
        <v>12.02</v>
      </c>
      <c r="C9" s="2">
        <v>12.29</v>
      </c>
      <c r="D9" s="2">
        <v>12.51</v>
      </c>
      <c r="E9" s="9">
        <v>13.86</v>
      </c>
      <c r="F9" s="9">
        <v>14.75</v>
      </c>
      <c r="G9" s="9">
        <v>15.79</v>
      </c>
      <c r="H9" s="9">
        <v>17</v>
      </c>
    </row>
    <row r="10" spans="1:8" x14ac:dyDescent="0.25">
      <c r="A10" s="11" t="s">
        <v>15</v>
      </c>
      <c r="B10" s="2">
        <v>12.02</v>
      </c>
      <c r="C10" s="2">
        <v>12.02</v>
      </c>
      <c r="D10" s="2">
        <v>12.31</v>
      </c>
      <c r="E10" s="2">
        <v>13.49</v>
      </c>
      <c r="F10" s="2">
        <v>14.55</v>
      </c>
      <c r="G10" s="2">
        <v>15.4</v>
      </c>
      <c r="H10" s="2">
        <v>16.48</v>
      </c>
    </row>
    <row r="11" spans="1:8" x14ac:dyDescent="0.25">
      <c r="A11" s="11" t="s">
        <v>16</v>
      </c>
      <c r="B11" s="2">
        <v>12.02</v>
      </c>
      <c r="C11" s="2">
        <v>12.29</v>
      </c>
      <c r="D11" s="2">
        <v>12.51</v>
      </c>
      <c r="E11" s="9">
        <v>13.86</v>
      </c>
      <c r="F11" s="9">
        <v>14.75</v>
      </c>
      <c r="G11" s="9">
        <v>15.79</v>
      </c>
      <c r="H11" s="9">
        <v>17</v>
      </c>
    </row>
    <row r="12" spans="1:8" x14ac:dyDescent="0.25">
      <c r="A12" s="11" t="s">
        <v>17</v>
      </c>
      <c r="B12" s="2">
        <v>12.02</v>
      </c>
      <c r="C12" s="2">
        <v>12.02</v>
      </c>
      <c r="D12" s="2">
        <v>12.31</v>
      </c>
      <c r="E12" s="2">
        <v>13.49</v>
      </c>
      <c r="F12" s="2">
        <v>14.55</v>
      </c>
      <c r="G12" s="2">
        <v>15.4</v>
      </c>
      <c r="H12" s="2">
        <v>16.48</v>
      </c>
    </row>
    <row r="13" spans="1:8" x14ac:dyDescent="0.25">
      <c r="A13" s="11" t="s">
        <v>18</v>
      </c>
      <c r="B13" s="2">
        <v>12.02</v>
      </c>
      <c r="C13" s="2">
        <v>12.02</v>
      </c>
      <c r="D13" s="2">
        <v>12.31</v>
      </c>
      <c r="E13" s="2">
        <v>13.49</v>
      </c>
      <c r="F13" s="2">
        <v>14.55</v>
      </c>
      <c r="G13" s="2">
        <v>15.4</v>
      </c>
      <c r="H13" s="2">
        <v>16.48</v>
      </c>
    </row>
    <row r="14" spans="1:8" x14ac:dyDescent="0.25">
      <c r="A14" s="11" t="s">
        <v>19</v>
      </c>
      <c r="B14" s="2">
        <f>1837.8/151.67</f>
        <v>12.117096327553242</v>
      </c>
      <c r="C14" s="2">
        <f>1868.43/151.67</f>
        <v>12.319047933012463</v>
      </c>
      <c r="D14" s="2">
        <f>1975.12/151.67</f>
        <v>13.022483022351157</v>
      </c>
      <c r="E14" s="2">
        <f>2170.8/151.67</f>
        <v>14.312652469176504</v>
      </c>
      <c r="F14" s="2">
        <f>2340.59/151.67</f>
        <v>15.432122370936904</v>
      </c>
      <c r="G14" s="2">
        <f>2510.38/151.67</f>
        <v>16.551592272697306</v>
      </c>
      <c r="H14" s="2">
        <f>2680.18/151.67</f>
        <v>17.671128107074569</v>
      </c>
    </row>
    <row r="15" spans="1:8" x14ac:dyDescent="0.25">
      <c r="A15" s="11" t="s">
        <v>20</v>
      </c>
      <c r="B15" s="2">
        <v>12.02</v>
      </c>
      <c r="C15" s="2">
        <v>12.03</v>
      </c>
      <c r="D15" s="2">
        <v>12.28</v>
      </c>
      <c r="E15" s="2">
        <v>13.46</v>
      </c>
      <c r="F15" s="2">
        <v>14.4</v>
      </c>
      <c r="G15" s="2">
        <v>15.51</v>
      </c>
      <c r="H15" s="2">
        <v>16.46</v>
      </c>
    </row>
    <row r="16" spans="1:8" x14ac:dyDescent="0.25">
      <c r="A16" s="11" t="s">
        <v>21</v>
      </c>
      <c r="B16" s="2">
        <v>12.02</v>
      </c>
      <c r="C16" s="2">
        <v>12.02</v>
      </c>
      <c r="D16" s="2">
        <v>12.3</v>
      </c>
      <c r="E16" s="2">
        <v>13.58</v>
      </c>
      <c r="F16" s="2">
        <v>14.74</v>
      </c>
      <c r="G16" s="2">
        <v>15.85</v>
      </c>
      <c r="H16" s="2">
        <v>16.8</v>
      </c>
    </row>
    <row r="17" spans="1:8" x14ac:dyDescent="0.25">
      <c r="A17" s="11" t="s">
        <v>22</v>
      </c>
      <c r="B17" s="2">
        <v>12.12</v>
      </c>
      <c r="C17" s="2">
        <v>12.28</v>
      </c>
      <c r="D17" s="2">
        <v>12.61</v>
      </c>
      <c r="E17" s="2">
        <v>13.67</v>
      </c>
      <c r="F17" s="2">
        <v>14.7</v>
      </c>
      <c r="G17" s="2">
        <v>15.82</v>
      </c>
      <c r="H17" s="2">
        <v>16.88</v>
      </c>
    </row>
    <row r="18" spans="1:8" x14ac:dyDescent="0.25">
      <c r="A18" s="11" t="s">
        <v>23</v>
      </c>
      <c r="B18" s="2">
        <v>12.12</v>
      </c>
      <c r="C18" s="2">
        <v>12.28</v>
      </c>
      <c r="D18" s="2">
        <v>12.61</v>
      </c>
      <c r="E18" s="2">
        <v>13.67</v>
      </c>
      <c r="F18" s="2">
        <v>14.7</v>
      </c>
      <c r="G18" s="2">
        <v>15.82</v>
      </c>
      <c r="H18" s="2">
        <v>16.88</v>
      </c>
    </row>
    <row r="19" spans="1:8" x14ac:dyDescent="0.25">
      <c r="A19" s="11" t="s">
        <v>24</v>
      </c>
      <c r="B19" s="2">
        <v>12.02</v>
      </c>
      <c r="C19" s="2">
        <v>12.14</v>
      </c>
      <c r="D19" s="2">
        <v>12.42</v>
      </c>
      <c r="E19" s="2">
        <v>13.39</v>
      </c>
      <c r="F19" s="2">
        <v>14.18</v>
      </c>
      <c r="G19" s="2">
        <v>14.94</v>
      </c>
      <c r="H19" s="2">
        <v>15.72</v>
      </c>
    </row>
    <row r="20" spans="1:8" x14ac:dyDescent="0.25">
      <c r="A20" s="11" t="s">
        <v>25</v>
      </c>
      <c r="B20" s="2">
        <v>12.12</v>
      </c>
      <c r="C20" s="2">
        <v>12.28</v>
      </c>
      <c r="D20" s="2">
        <v>12.61</v>
      </c>
      <c r="E20" s="2">
        <v>13.67</v>
      </c>
      <c r="F20" s="2">
        <v>14.7</v>
      </c>
      <c r="G20" s="2">
        <v>15.82</v>
      </c>
      <c r="H20" s="2">
        <v>16.88</v>
      </c>
    </row>
    <row r="21" spans="1:8" x14ac:dyDescent="0.25">
      <c r="A21" s="11" t="s">
        <v>26</v>
      </c>
      <c r="B21" s="2">
        <v>12.02</v>
      </c>
      <c r="C21" s="2">
        <v>12.131600000000001</v>
      </c>
      <c r="D21" s="2">
        <v>12.3558</v>
      </c>
      <c r="E21" s="2">
        <v>13.5228</v>
      </c>
      <c r="F21" s="2">
        <v>14.459</v>
      </c>
      <c r="G21" s="2">
        <v>15.395300000000001</v>
      </c>
      <c r="H21" s="2">
        <v>16.331499999999998</v>
      </c>
    </row>
    <row r="22" spans="1:8" x14ac:dyDescent="0.25">
      <c r="A22" s="11" t="s">
        <v>27</v>
      </c>
      <c r="B22" s="2">
        <v>12.29</v>
      </c>
      <c r="C22" s="2">
        <v>12.32</v>
      </c>
      <c r="D22" s="2">
        <v>12.64</v>
      </c>
      <c r="E22" s="2">
        <v>13.61</v>
      </c>
      <c r="F22" s="2">
        <v>14.73</v>
      </c>
      <c r="G22" s="2">
        <v>15.85</v>
      </c>
      <c r="H22" s="2">
        <v>16.97</v>
      </c>
    </row>
    <row r="23" spans="1:8" x14ac:dyDescent="0.25">
      <c r="A23" s="11" t="s">
        <v>28</v>
      </c>
      <c r="B23" s="2">
        <v>12.12</v>
      </c>
      <c r="C23" s="2">
        <v>12.28</v>
      </c>
      <c r="D23" s="2">
        <v>12.61</v>
      </c>
      <c r="E23" s="2">
        <v>13.67</v>
      </c>
      <c r="F23" s="2">
        <v>14.7</v>
      </c>
      <c r="G23" s="2">
        <v>15.82</v>
      </c>
      <c r="H23" s="2">
        <v>16.88</v>
      </c>
    </row>
    <row r="24" spans="1:8" x14ac:dyDescent="0.25">
      <c r="A24" s="11" t="s">
        <v>29</v>
      </c>
      <c r="B24" s="2">
        <v>12.12</v>
      </c>
      <c r="C24" s="2">
        <v>12.28</v>
      </c>
      <c r="D24" s="2">
        <v>12.61</v>
      </c>
      <c r="E24" s="2">
        <v>13.67</v>
      </c>
      <c r="F24" s="2">
        <v>14.7</v>
      </c>
      <c r="G24" s="2">
        <v>15.82</v>
      </c>
      <c r="H24" s="2">
        <v>16.88</v>
      </c>
    </row>
    <row r="25" spans="1:8" x14ac:dyDescent="0.25">
      <c r="A25" s="11" t="s">
        <v>30</v>
      </c>
      <c r="B25" s="2">
        <v>12.02</v>
      </c>
      <c r="C25" s="2">
        <v>12.131600000000001</v>
      </c>
      <c r="D25" s="2">
        <v>12.3558</v>
      </c>
      <c r="E25" s="2">
        <v>13.5228</v>
      </c>
      <c r="F25" s="2">
        <v>14.459</v>
      </c>
      <c r="G25" s="2">
        <v>15.395300000000001</v>
      </c>
      <c r="H25" s="2">
        <v>16.331499999999998</v>
      </c>
    </row>
    <row r="26" spans="1:8" x14ac:dyDescent="0.25">
      <c r="A26" s="11" t="s">
        <v>31</v>
      </c>
      <c r="B26" s="2">
        <v>12.02</v>
      </c>
      <c r="C26" s="2">
        <v>12.02</v>
      </c>
      <c r="D26" s="2">
        <f>1865/151.67</f>
        <v>12.296433045427573</v>
      </c>
      <c r="E26" s="2">
        <f>2060/151.67</f>
        <v>13.58211907430606</v>
      </c>
      <c r="F26" s="2">
        <f>2235/151.67</f>
        <v>14.73593986945342</v>
      </c>
      <c r="G26" s="2">
        <f>2403.6/151.67</f>
        <v>15.847563789806818</v>
      </c>
      <c r="H26" s="2">
        <f>2548.7/151.67</f>
        <v>16.804246060526143</v>
      </c>
    </row>
    <row r="27" spans="1:8" x14ac:dyDescent="0.25">
      <c r="A27" s="11" t="s">
        <v>32</v>
      </c>
      <c r="B27" s="2">
        <v>12.02</v>
      </c>
      <c r="C27" s="2">
        <v>12.03</v>
      </c>
      <c r="D27" s="2">
        <v>12.28</v>
      </c>
      <c r="E27" s="2">
        <v>13.46</v>
      </c>
      <c r="F27" s="2">
        <v>14.4</v>
      </c>
      <c r="G27" s="2">
        <v>15.51</v>
      </c>
      <c r="H27" s="2">
        <v>16.46</v>
      </c>
    </row>
    <row r="28" spans="1:8" x14ac:dyDescent="0.25">
      <c r="A28" s="11" t="s">
        <v>33</v>
      </c>
      <c r="B28" s="2">
        <v>12.02</v>
      </c>
      <c r="C28" s="2">
        <v>12.14</v>
      </c>
      <c r="D28" s="2">
        <v>12.42</v>
      </c>
      <c r="E28" s="2">
        <v>13.39</v>
      </c>
      <c r="F28" s="2">
        <v>14.18</v>
      </c>
      <c r="G28" s="2">
        <v>14.94</v>
      </c>
      <c r="H28" s="2">
        <v>15.72</v>
      </c>
    </row>
    <row r="29" spans="1:8" x14ac:dyDescent="0.25">
      <c r="A29" s="11" t="s">
        <v>34</v>
      </c>
      <c r="B29" s="2">
        <v>12.29</v>
      </c>
      <c r="C29" s="2">
        <v>12.32</v>
      </c>
      <c r="D29" s="2">
        <v>12.64</v>
      </c>
      <c r="E29" s="2">
        <v>13.61</v>
      </c>
      <c r="F29" s="2">
        <v>14.73</v>
      </c>
      <c r="G29" s="2">
        <v>15.85</v>
      </c>
      <c r="H29" s="2">
        <v>16.97</v>
      </c>
    </row>
    <row r="30" spans="1:8" x14ac:dyDescent="0.25">
      <c r="A30" s="11" t="s">
        <v>35</v>
      </c>
      <c r="B30" s="2">
        <v>12.02</v>
      </c>
      <c r="C30" s="2">
        <v>12.02</v>
      </c>
      <c r="D30" s="2">
        <v>12.42</v>
      </c>
      <c r="E30" s="2">
        <v>13.85</v>
      </c>
      <c r="F30" s="2">
        <v>15</v>
      </c>
      <c r="G30" s="2">
        <v>16.14</v>
      </c>
      <c r="H30" s="2">
        <v>17.29</v>
      </c>
    </row>
    <row r="31" spans="1:8" x14ac:dyDescent="0.25">
      <c r="A31" s="11" t="s">
        <v>36</v>
      </c>
      <c r="B31" s="2">
        <v>12.02</v>
      </c>
      <c r="C31" s="2">
        <v>12.02</v>
      </c>
      <c r="D31" s="2">
        <v>12.42</v>
      </c>
      <c r="E31" s="2">
        <v>13.85</v>
      </c>
      <c r="F31" s="2">
        <v>15</v>
      </c>
      <c r="G31" s="2">
        <v>16.14</v>
      </c>
      <c r="H31" s="2">
        <v>17.29</v>
      </c>
    </row>
    <row r="32" spans="1:8" x14ac:dyDescent="0.25">
      <c r="A32" s="11" t="s">
        <v>37</v>
      </c>
      <c r="B32" s="2">
        <v>12.02</v>
      </c>
      <c r="C32" s="2">
        <v>12.02</v>
      </c>
      <c r="D32" s="2">
        <v>12.31</v>
      </c>
      <c r="E32" s="2">
        <v>13.49</v>
      </c>
      <c r="F32" s="2">
        <v>14.55</v>
      </c>
      <c r="G32" s="2">
        <v>15.4</v>
      </c>
      <c r="H32" s="2">
        <v>16.48</v>
      </c>
    </row>
    <row r="33" spans="1:8" x14ac:dyDescent="0.25">
      <c r="A33" s="11" t="s">
        <v>38</v>
      </c>
      <c r="B33" s="2">
        <v>12.02</v>
      </c>
      <c r="C33" s="2">
        <v>12.02</v>
      </c>
      <c r="D33" s="2">
        <v>12.31</v>
      </c>
      <c r="E33" s="2">
        <v>13.49</v>
      </c>
      <c r="F33" s="2">
        <v>14.55</v>
      </c>
      <c r="G33" s="2">
        <v>15.4</v>
      </c>
      <c r="H33" s="2">
        <v>16.48</v>
      </c>
    </row>
    <row r="34" spans="1:8" x14ac:dyDescent="0.25">
      <c r="A34" s="11" t="s">
        <v>39</v>
      </c>
      <c r="B34" s="2">
        <v>12.02</v>
      </c>
      <c r="C34" s="2">
        <v>12.02</v>
      </c>
      <c r="D34" s="2">
        <v>12.31</v>
      </c>
      <c r="E34" s="2">
        <v>13.49</v>
      </c>
      <c r="F34" s="2">
        <v>14.55</v>
      </c>
      <c r="G34" s="2">
        <v>15.4</v>
      </c>
      <c r="H34" s="2">
        <v>16.48</v>
      </c>
    </row>
    <row r="35" spans="1:8" x14ac:dyDescent="0.25">
      <c r="A35" s="11" t="s">
        <v>40</v>
      </c>
      <c r="B35" s="2">
        <v>12.12</v>
      </c>
      <c r="C35" s="2">
        <v>12.28</v>
      </c>
      <c r="D35" s="2">
        <v>12.61</v>
      </c>
      <c r="E35" s="2">
        <v>13.67</v>
      </c>
      <c r="F35" s="2">
        <v>14.7</v>
      </c>
      <c r="G35" s="2">
        <v>15.82</v>
      </c>
      <c r="H35" s="2">
        <v>16.88</v>
      </c>
    </row>
    <row r="36" spans="1:8" x14ac:dyDescent="0.25">
      <c r="A36" s="11" t="s">
        <v>41</v>
      </c>
      <c r="B36" s="2">
        <v>12.02</v>
      </c>
      <c r="C36" s="2">
        <v>12.02</v>
      </c>
      <c r="D36" s="2">
        <v>12.31</v>
      </c>
      <c r="E36" s="2">
        <v>13.49</v>
      </c>
      <c r="F36" s="2">
        <v>14.55</v>
      </c>
      <c r="G36" s="2">
        <v>15.4</v>
      </c>
      <c r="H36" s="2">
        <v>16.48</v>
      </c>
    </row>
    <row r="37" spans="1:8" x14ac:dyDescent="0.25">
      <c r="A37" s="11" t="s">
        <v>42</v>
      </c>
      <c r="B37" s="2">
        <v>12.29</v>
      </c>
      <c r="C37" s="2">
        <v>12.32</v>
      </c>
      <c r="D37" s="2">
        <v>12.64</v>
      </c>
      <c r="E37" s="2">
        <v>13.61</v>
      </c>
      <c r="F37" s="2">
        <v>14.73</v>
      </c>
      <c r="G37" s="2">
        <v>15.85</v>
      </c>
      <c r="H37" s="2">
        <v>16.97</v>
      </c>
    </row>
    <row r="38" spans="1:8" x14ac:dyDescent="0.25">
      <c r="A38" s="11" t="s">
        <v>43</v>
      </c>
      <c r="B38" s="2">
        <v>12.02</v>
      </c>
      <c r="C38" s="2">
        <v>12.14</v>
      </c>
      <c r="D38" s="2">
        <v>12.42</v>
      </c>
      <c r="E38" s="2">
        <v>13.39</v>
      </c>
      <c r="F38" s="2">
        <v>14.18</v>
      </c>
      <c r="G38" s="2">
        <v>14.94</v>
      </c>
      <c r="H38" s="2">
        <v>15.72</v>
      </c>
    </row>
    <row r="39" spans="1:8" x14ac:dyDescent="0.25">
      <c r="A39" s="11" t="s">
        <v>44</v>
      </c>
      <c r="B39" s="2">
        <v>12.02</v>
      </c>
      <c r="C39" s="2">
        <v>12.14</v>
      </c>
      <c r="D39" s="2">
        <v>12.42</v>
      </c>
      <c r="E39" s="2">
        <v>13.39</v>
      </c>
      <c r="F39" s="2">
        <v>14.18</v>
      </c>
      <c r="G39" s="2">
        <v>14.94</v>
      </c>
      <c r="H39" s="2">
        <v>15.72</v>
      </c>
    </row>
    <row r="40" spans="1:8" x14ac:dyDescent="0.25">
      <c r="A40" s="11" t="s">
        <v>45</v>
      </c>
      <c r="B40" s="2">
        <v>12.02</v>
      </c>
      <c r="C40" s="2">
        <v>12.02</v>
      </c>
      <c r="D40" s="2">
        <f>1865/151.67</f>
        <v>12.296433045427573</v>
      </c>
      <c r="E40" s="2">
        <f>2060/151.67</f>
        <v>13.58211907430606</v>
      </c>
      <c r="F40" s="2">
        <f>2235/151.67</f>
        <v>14.73593986945342</v>
      </c>
      <c r="G40" s="2">
        <f>2403.6/151.67</f>
        <v>15.847563789806818</v>
      </c>
      <c r="H40" s="2">
        <f>2548.7/151.67</f>
        <v>16.804246060526143</v>
      </c>
    </row>
    <row r="41" spans="1:8" x14ac:dyDescent="0.25">
      <c r="A41" s="11" t="s">
        <v>46</v>
      </c>
      <c r="B41" s="2">
        <v>12.02</v>
      </c>
      <c r="C41" s="2">
        <v>12.131600000000001</v>
      </c>
      <c r="D41" s="2">
        <v>12.3558</v>
      </c>
      <c r="E41" s="2">
        <v>13.5228</v>
      </c>
      <c r="F41" s="2">
        <v>14.459</v>
      </c>
      <c r="G41" s="2">
        <v>15.395300000000001</v>
      </c>
      <c r="H41" s="2">
        <v>16.331499999999998</v>
      </c>
    </row>
    <row r="42" spans="1:8" x14ac:dyDescent="0.25">
      <c r="A42" s="11" t="s">
        <v>47</v>
      </c>
      <c r="B42" s="2">
        <v>12.12</v>
      </c>
      <c r="C42" s="2">
        <v>12.28</v>
      </c>
      <c r="D42" s="2">
        <v>12.61</v>
      </c>
      <c r="E42" s="2">
        <v>13.67</v>
      </c>
      <c r="F42" s="2">
        <v>14.7</v>
      </c>
      <c r="G42" s="2">
        <v>15.82</v>
      </c>
      <c r="H42" s="2">
        <v>16.88</v>
      </c>
    </row>
    <row r="43" spans="1:8" x14ac:dyDescent="0.25">
      <c r="A43" s="11" t="s">
        <v>48</v>
      </c>
      <c r="B43" s="2">
        <v>12.02</v>
      </c>
      <c r="C43" s="2">
        <v>12.14</v>
      </c>
      <c r="D43" s="2">
        <v>12.42</v>
      </c>
      <c r="E43" s="2">
        <v>13.39</v>
      </c>
      <c r="F43" s="2">
        <v>14.18</v>
      </c>
      <c r="G43" s="2">
        <v>14.94</v>
      </c>
      <c r="H43" s="2">
        <v>15.72</v>
      </c>
    </row>
    <row r="44" spans="1:8" x14ac:dyDescent="0.25">
      <c r="A44" s="11" t="s">
        <v>49</v>
      </c>
      <c r="B44" s="2">
        <v>12.02</v>
      </c>
      <c r="C44" s="2">
        <v>12.02</v>
      </c>
      <c r="D44" s="2">
        <f>1865/151.67</f>
        <v>12.296433045427573</v>
      </c>
      <c r="E44" s="2">
        <f>2060/151.67</f>
        <v>13.58211907430606</v>
      </c>
      <c r="F44" s="2">
        <f>2235/151.67</f>
        <v>14.73593986945342</v>
      </c>
      <c r="G44" s="2">
        <f>2403.6/151.67</f>
        <v>15.847563789806818</v>
      </c>
      <c r="H44" s="2">
        <f>2548.7/151.67</f>
        <v>16.804246060526143</v>
      </c>
    </row>
    <row r="45" spans="1:8" x14ac:dyDescent="0.25">
      <c r="A45" s="11" t="s">
        <v>50</v>
      </c>
      <c r="B45" s="2">
        <v>12.02</v>
      </c>
      <c r="C45" s="2">
        <v>12.02</v>
      </c>
      <c r="D45" s="2">
        <v>12.3</v>
      </c>
      <c r="E45" s="2">
        <v>13.58</v>
      </c>
      <c r="F45" s="2">
        <v>14.74</v>
      </c>
      <c r="G45" s="2">
        <v>15.85</v>
      </c>
      <c r="H45" s="2">
        <v>16.8</v>
      </c>
    </row>
    <row r="46" spans="1:8" x14ac:dyDescent="0.25">
      <c r="A46" s="11" t="s">
        <v>51</v>
      </c>
      <c r="B46" s="2">
        <v>12.02</v>
      </c>
      <c r="C46" s="2">
        <v>12.02</v>
      </c>
      <c r="D46" s="2">
        <v>12.05</v>
      </c>
      <c r="E46" s="2">
        <v>13.34</v>
      </c>
      <c r="F46" s="2">
        <v>14.51</v>
      </c>
      <c r="G46" s="2">
        <v>15.68</v>
      </c>
      <c r="H46" s="2">
        <v>16.84</v>
      </c>
    </row>
    <row r="47" spans="1:8" x14ac:dyDescent="0.25">
      <c r="A47" s="11" t="s">
        <v>52</v>
      </c>
      <c r="B47" s="2">
        <v>12.02</v>
      </c>
      <c r="C47" s="2">
        <v>12.14</v>
      </c>
      <c r="D47" s="2">
        <v>12.42</v>
      </c>
      <c r="E47" s="2">
        <v>13.39</v>
      </c>
      <c r="F47" s="2">
        <v>14.18</v>
      </c>
      <c r="G47" s="2">
        <v>14.94</v>
      </c>
      <c r="H47" s="2">
        <v>15.72</v>
      </c>
    </row>
    <row r="48" spans="1:8" x14ac:dyDescent="0.25">
      <c r="A48" s="11" t="s">
        <v>53</v>
      </c>
      <c r="B48" s="2">
        <v>12.02</v>
      </c>
      <c r="C48" s="2">
        <v>12.02</v>
      </c>
      <c r="D48" s="2">
        <v>12.31</v>
      </c>
      <c r="E48" s="2">
        <v>13.49</v>
      </c>
      <c r="F48" s="2">
        <v>14.55</v>
      </c>
      <c r="G48" s="2">
        <v>15.4</v>
      </c>
      <c r="H48" s="2">
        <v>16.48</v>
      </c>
    </row>
    <row r="49" spans="1:8" x14ac:dyDescent="0.25">
      <c r="A49" s="11" t="s">
        <v>54</v>
      </c>
      <c r="B49" s="2">
        <v>12.12</v>
      </c>
      <c r="C49" s="2">
        <v>12.28</v>
      </c>
      <c r="D49" s="2">
        <v>12.61</v>
      </c>
      <c r="E49" s="2">
        <v>13.67</v>
      </c>
      <c r="F49" s="2">
        <v>14.7</v>
      </c>
      <c r="G49" s="2">
        <v>15.82</v>
      </c>
      <c r="H49" s="2">
        <v>16.88</v>
      </c>
    </row>
    <row r="50" spans="1:8" x14ac:dyDescent="0.25">
      <c r="A50" s="11" t="s">
        <v>55</v>
      </c>
      <c r="B50" s="2">
        <v>12.02</v>
      </c>
      <c r="C50" s="2">
        <v>12.02</v>
      </c>
      <c r="D50" s="2">
        <v>12.31</v>
      </c>
      <c r="E50" s="2">
        <v>13.49</v>
      </c>
      <c r="F50" s="2">
        <v>14.55</v>
      </c>
      <c r="G50" s="2">
        <v>15.4</v>
      </c>
      <c r="H50" s="2">
        <v>16.48</v>
      </c>
    </row>
    <row r="51" spans="1:8" x14ac:dyDescent="0.25">
      <c r="A51" s="11" t="s">
        <v>56</v>
      </c>
      <c r="B51" s="2">
        <v>12.02</v>
      </c>
      <c r="C51" s="2">
        <v>12.02</v>
      </c>
      <c r="D51" s="2">
        <v>12.05</v>
      </c>
      <c r="E51" s="2">
        <v>13.34</v>
      </c>
      <c r="F51" s="2">
        <v>14.51</v>
      </c>
      <c r="G51" s="2">
        <v>15.68</v>
      </c>
      <c r="H51" s="2">
        <v>16.84</v>
      </c>
    </row>
    <row r="52" spans="1:8" x14ac:dyDescent="0.25">
      <c r="A52" s="11" t="s">
        <v>57</v>
      </c>
      <c r="B52" s="2">
        <v>12.02</v>
      </c>
      <c r="C52" s="2">
        <v>12.03</v>
      </c>
      <c r="D52" s="2">
        <v>12.28</v>
      </c>
      <c r="E52" s="2">
        <v>13.46</v>
      </c>
      <c r="F52" s="2">
        <v>14.4</v>
      </c>
      <c r="G52" s="2">
        <v>15.51</v>
      </c>
      <c r="H52" s="2">
        <v>16.46</v>
      </c>
    </row>
    <row r="53" spans="1:8" x14ac:dyDescent="0.25">
      <c r="A53" s="11" t="s">
        <v>58</v>
      </c>
      <c r="B53" s="2">
        <v>12.02</v>
      </c>
      <c r="C53" s="2">
        <v>12.29</v>
      </c>
      <c r="D53" s="2">
        <v>12.51</v>
      </c>
      <c r="E53" s="9">
        <v>13.86</v>
      </c>
      <c r="F53" s="9">
        <v>14.75</v>
      </c>
      <c r="G53" s="9">
        <v>15.79</v>
      </c>
      <c r="H53" s="9">
        <v>17</v>
      </c>
    </row>
    <row r="54" spans="1:8" x14ac:dyDescent="0.25">
      <c r="A54" s="11" t="s">
        <v>59</v>
      </c>
      <c r="B54" s="2">
        <v>12.02</v>
      </c>
      <c r="C54" s="2">
        <v>12.29</v>
      </c>
      <c r="D54" s="2">
        <v>12.51</v>
      </c>
      <c r="E54" s="9">
        <v>13.86</v>
      </c>
      <c r="F54" s="9">
        <v>14.75</v>
      </c>
      <c r="G54" s="9">
        <v>15.79</v>
      </c>
      <c r="H54" s="9">
        <v>17</v>
      </c>
    </row>
    <row r="55" spans="1:8" x14ac:dyDescent="0.25">
      <c r="A55" s="11" t="s">
        <v>60</v>
      </c>
      <c r="B55" s="2">
        <v>12.02</v>
      </c>
      <c r="C55" s="2">
        <v>12.02</v>
      </c>
      <c r="D55" s="2">
        <v>12.05</v>
      </c>
      <c r="E55" s="2">
        <v>13.34</v>
      </c>
      <c r="F55" s="2">
        <v>14.51</v>
      </c>
      <c r="G55" s="2">
        <v>15.68</v>
      </c>
      <c r="H55" s="2">
        <v>16.84</v>
      </c>
    </row>
    <row r="56" spans="1:8" x14ac:dyDescent="0.25">
      <c r="A56" s="11" t="s">
        <v>61</v>
      </c>
      <c r="B56" s="2">
        <v>12.02</v>
      </c>
      <c r="C56" s="2">
        <v>12.29</v>
      </c>
      <c r="D56" s="2">
        <v>12.51</v>
      </c>
      <c r="E56" s="9">
        <v>13.86</v>
      </c>
      <c r="F56" s="9">
        <v>14.75</v>
      </c>
      <c r="G56" s="9">
        <v>15.79</v>
      </c>
      <c r="H56" s="9">
        <v>17</v>
      </c>
    </row>
    <row r="57" spans="1:8" x14ac:dyDescent="0.25">
      <c r="A57" s="11" t="s">
        <v>62</v>
      </c>
      <c r="B57" s="2">
        <v>12.02</v>
      </c>
      <c r="C57" s="2">
        <v>12.29</v>
      </c>
      <c r="D57" s="2">
        <v>12.51</v>
      </c>
      <c r="E57" s="9">
        <v>13.86</v>
      </c>
      <c r="F57" s="9">
        <v>14.75</v>
      </c>
      <c r="G57" s="9">
        <v>15.79</v>
      </c>
      <c r="H57" s="9">
        <v>17</v>
      </c>
    </row>
    <row r="58" spans="1:8" x14ac:dyDescent="0.25">
      <c r="A58" s="11" t="s">
        <v>63</v>
      </c>
      <c r="B58" s="2">
        <v>12.29</v>
      </c>
      <c r="C58" s="2">
        <v>12.32</v>
      </c>
      <c r="D58" s="2">
        <v>12.64</v>
      </c>
      <c r="E58" s="2">
        <v>13.61</v>
      </c>
      <c r="F58" s="2">
        <v>14.73</v>
      </c>
      <c r="G58" s="2">
        <v>15.85</v>
      </c>
      <c r="H58" s="2">
        <v>16.97</v>
      </c>
    </row>
    <row r="59" spans="1:8" x14ac:dyDescent="0.25">
      <c r="A59" s="11" t="s">
        <v>64</v>
      </c>
      <c r="B59" s="2">
        <v>12.02</v>
      </c>
      <c r="C59" s="2">
        <v>12.29</v>
      </c>
      <c r="D59" s="2">
        <v>12.51</v>
      </c>
      <c r="E59" s="9">
        <v>13.86</v>
      </c>
      <c r="F59" s="9">
        <v>14.75</v>
      </c>
      <c r="G59" s="9">
        <v>15.79</v>
      </c>
      <c r="H59" s="9">
        <v>17</v>
      </c>
    </row>
    <row r="60" spans="1:8" x14ac:dyDescent="0.25">
      <c r="A60" s="11" t="s">
        <v>65</v>
      </c>
      <c r="B60" s="2">
        <v>12.02</v>
      </c>
      <c r="C60" s="2">
        <v>12.131600000000001</v>
      </c>
      <c r="D60" s="2">
        <v>12.3558</v>
      </c>
      <c r="E60" s="2">
        <v>13.5228</v>
      </c>
      <c r="F60" s="2">
        <v>14.459</v>
      </c>
      <c r="G60" s="2">
        <v>15.395300000000001</v>
      </c>
      <c r="H60" s="2">
        <v>16.331499999999998</v>
      </c>
    </row>
    <row r="61" spans="1:8" x14ac:dyDescent="0.25">
      <c r="A61" s="11" t="s">
        <v>66</v>
      </c>
      <c r="B61" s="2">
        <v>12.02</v>
      </c>
      <c r="C61" s="2">
        <v>12.09</v>
      </c>
      <c r="D61" s="2">
        <v>12.72</v>
      </c>
      <c r="E61" s="2">
        <v>13.74</v>
      </c>
      <c r="F61" s="2">
        <v>14.77</v>
      </c>
      <c r="G61" s="2">
        <v>16.07</v>
      </c>
      <c r="H61" s="2">
        <v>17.25</v>
      </c>
    </row>
    <row r="62" spans="1:8" x14ac:dyDescent="0.25">
      <c r="A62" s="11" t="s">
        <v>67</v>
      </c>
      <c r="B62" s="2">
        <v>12.02</v>
      </c>
      <c r="C62" s="2">
        <v>12.09</v>
      </c>
      <c r="D62" s="2">
        <v>12.72</v>
      </c>
      <c r="E62" s="2">
        <v>13.74</v>
      </c>
      <c r="F62" s="2">
        <v>14.77</v>
      </c>
      <c r="G62" s="2">
        <v>16.07</v>
      </c>
      <c r="H62" s="2">
        <v>17.25</v>
      </c>
    </row>
    <row r="63" spans="1:8" x14ac:dyDescent="0.25">
      <c r="A63" s="11" t="s">
        <v>68</v>
      </c>
      <c r="B63" s="2">
        <v>12.02</v>
      </c>
      <c r="C63" s="2">
        <v>12.03</v>
      </c>
      <c r="D63" s="2">
        <v>12.28</v>
      </c>
      <c r="E63" s="2">
        <v>13.46</v>
      </c>
      <c r="F63" s="2">
        <v>14.4</v>
      </c>
      <c r="G63" s="2">
        <v>15.51</v>
      </c>
      <c r="H63" s="2">
        <v>16.46</v>
      </c>
    </row>
    <row r="64" spans="1:8" x14ac:dyDescent="0.25">
      <c r="A64" s="11" t="s">
        <v>69</v>
      </c>
      <c r="B64" s="2">
        <v>12.02</v>
      </c>
      <c r="C64" s="2">
        <v>12.09</v>
      </c>
      <c r="D64" s="2">
        <v>12.72</v>
      </c>
      <c r="E64" s="2">
        <v>13.74</v>
      </c>
      <c r="F64" s="2">
        <v>14.77</v>
      </c>
      <c r="G64" s="2">
        <v>16.07</v>
      </c>
      <c r="H64" s="2">
        <v>17.25</v>
      </c>
    </row>
    <row r="65" spans="1:8" x14ac:dyDescent="0.25">
      <c r="A65" s="11" t="s">
        <v>70</v>
      </c>
      <c r="B65" s="2">
        <v>12.02</v>
      </c>
      <c r="C65" s="2">
        <v>12.02</v>
      </c>
      <c r="D65" s="2">
        <v>12.3</v>
      </c>
      <c r="E65" s="2">
        <v>13.58</v>
      </c>
      <c r="F65" s="2">
        <v>14.74</v>
      </c>
      <c r="G65" s="2">
        <v>15.85</v>
      </c>
      <c r="H65" s="2">
        <v>16.8</v>
      </c>
    </row>
    <row r="66" spans="1:8" x14ac:dyDescent="0.25">
      <c r="A66" s="11" t="s">
        <v>71</v>
      </c>
      <c r="B66" s="2">
        <v>12.12</v>
      </c>
      <c r="C66" s="2">
        <v>12.28</v>
      </c>
      <c r="D66" s="2">
        <v>12.61</v>
      </c>
      <c r="E66" s="2">
        <v>13.67</v>
      </c>
      <c r="F66" s="2">
        <v>14.7</v>
      </c>
      <c r="G66" s="2">
        <v>15.82</v>
      </c>
      <c r="H66" s="2">
        <v>16.88</v>
      </c>
    </row>
    <row r="67" spans="1:8" x14ac:dyDescent="0.25">
      <c r="A67" s="11" t="s">
        <v>72</v>
      </c>
      <c r="B67" s="2">
        <v>12.02</v>
      </c>
      <c r="C67" s="2">
        <v>12.02</v>
      </c>
      <c r="D67" s="2">
        <v>12.31</v>
      </c>
      <c r="E67" s="2">
        <v>13.49</v>
      </c>
      <c r="F67" s="2">
        <v>14.55</v>
      </c>
      <c r="G67" s="2">
        <v>15.4</v>
      </c>
      <c r="H67" s="2">
        <v>16.48</v>
      </c>
    </row>
    <row r="68" spans="1:8" x14ac:dyDescent="0.25">
      <c r="A68" s="11" t="s">
        <v>73</v>
      </c>
      <c r="B68" s="2">
        <v>12.02</v>
      </c>
      <c r="C68" s="2">
        <v>12.02</v>
      </c>
      <c r="D68" s="2">
        <v>12.31</v>
      </c>
      <c r="E68" s="2">
        <v>13.49</v>
      </c>
      <c r="F68" s="2">
        <v>14.55</v>
      </c>
      <c r="G68" s="2">
        <v>15.4</v>
      </c>
      <c r="H68" s="2">
        <v>16.48</v>
      </c>
    </row>
    <row r="69" spans="1:8" x14ac:dyDescent="0.25">
      <c r="A69" s="11" t="s">
        <v>74</v>
      </c>
      <c r="B69" s="2">
        <v>12.02</v>
      </c>
      <c r="C69" s="2">
        <v>12.29</v>
      </c>
      <c r="D69" s="2">
        <v>12.51</v>
      </c>
      <c r="E69" s="9">
        <v>13.86</v>
      </c>
      <c r="F69" s="9">
        <v>14.75</v>
      </c>
      <c r="G69" s="9">
        <v>15.79</v>
      </c>
      <c r="H69" s="9">
        <v>17</v>
      </c>
    </row>
    <row r="70" spans="1:8" x14ac:dyDescent="0.25">
      <c r="A70" s="11" t="s">
        <v>75</v>
      </c>
      <c r="B70" s="2">
        <v>12.02</v>
      </c>
      <c r="C70" s="2">
        <v>12.29</v>
      </c>
      <c r="D70" s="2">
        <v>12.51</v>
      </c>
      <c r="E70" s="9">
        <v>13.86</v>
      </c>
      <c r="F70" s="9">
        <v>14.75</v>
      </c>
      <c r="G70" s="9">
        <v>15.79</v>
      </c>
      <c r="H70" s="9">
        <v>17</v>
      </c>
    </row>
    <row r="71" spans="1:8" x14ac:dyDescent="0.25">
      <c r="A71" s="11" t="s">
        <v>76</v>
      </c>
      <c r="B71" s="2">
        <v>12.02</v>
      </c>
      <c r="C71" s="2">
        <v>12.02</v>
      </c>
      <c r="D71" s="2">
        <f>1865/151.67</f>
        <v>12.296433045427573</v>
      </c>
      <c r="E71" s="2">
        <f>2060/151.67</f>
        <v>13.58211907430606</v>
      </c>
      <c r="F71" s="2">
        <f>2235/151.67</f>
        <v>14.73593986945342</v>
      </c>
      <c r="G71" s="2">
        <f>2403.6/151.67</f>
        <v>15.847563789806818</v>
      </c>
      <c r="H71" s="2">
        <f>2548.7/151.67</f>
        <v>16.804246060526143</v>
      </c>
    </row>
    <row r="72" spans="1:8" x14ac:dyDescent="0.25">
      <c r="A72" s="11" t="s">
        <v>77</v>
      </c>
      <c r="B72" s="2">
        <v>12.02</v>
      </c>
      <c r="C72" s="2">
        <v>12.131600000000001</v>
      </c>
      <c r="D72" s="2">
        <v>12.3558</v>
      </c>
      <c r="E72" s="2">
        <v>13.5228</v>
      </c>
      <c r="F72" s="2">
        <v>14.459</v>
      </c>
      <c r="G72" s="2">
        <v>15.395300000000001</v>
      </c>
      <c r="H72" s="2">
        <v>16.331499999999998</v>
      </c>
    </row>
    <row r="73" spans="1:8" x14ac:dyDescent="0.25">
      <c r="A73" s="11" t="s">
        <v>78</v>
      </c>
      <c r="B73" s="2">
        <v>12.02</v>
      </c>
      <c r="C73" s="2">
        <v>12.131600000000001</v>
      </c>
      <c r="D73" s="2">
        <v>12.3558</v>
      </c>
      <c r="E73" s="2">
        <v>13.5228</v>
      </c>
      <c r="F73" s="2">
        <v>14.459</v>
      </c>
      <c r="G73" s="2">
        <v>15.395300000000001</v>
      </c>
      <c r="H73" s="2">
        <v>16.331499999999998</v>
      </c>
    </row>
    <row r="74" spans="1:8" x14ac:dyDescent="0.25">
      <c r="A74" s="11" t="s">
        <v>79</v>
      </c>
      <c r="B74" s="2">
        <v>12.02</v>
      </c>
      <c r="C74" s="2">
        <v>12.02</v>
      </c>
      <c r="D74" s="2">
        <v>12.05</v>
      </c>
      <c r="E74" s="2">
        <v>13.34</v>
      </c>
      <c r="F74" s="2">
        <v>14.51</v>
      </c>
      <c r="G74" s="2">
        <v>15.68</v>
      </c>
      <c r="H74" s="2">
        <v>16.84</v>
      </c>
    </row>
    <row r="75" spans="1:8" x14ac:dyDescent="0.25">
      <c r="A75" s="11" t="s">
        <v>80</v>
      </c>
      <c r="B75" s="2">
        <v>12.02</v>
      </c>
      <c r="C75" s="2">
        <v>12.02</v>
      </c>
      <c r="D75" s="2">
        <f>1865/151.67</f>
        <v>12.296433045427573</v>
      </c>
      <c r="E75" s="2">
        <f>2060/151.67</f>
        <v>13.58211907430606</v>
      </c>
      <c r="F75" s="2">
        <f>2235/151.67</f>
        <v>14.73593986945342</v>
      </c>
      <c r="G75" s="2">
        <f>2403.6/151.67</f>
        <v>15.847563789806818</v>
      </c>
      <c r="H75" s="2">
        <f>2548.7/151.67</f>
        <v>16.804246060526143</v>
      </c>
    </row>
    <row r="76" spans="1:8" x14ac:dyDescent="0.25">
      <c r="A76" s="11" t="s">
        <v>81</v>
      </c>
      <c r="B76" s="2">
        <v>12.02</v>
      </c>
      <c r="C76" s="2">
        <v>12.02</v>
      </c>
      <c r="D76" s="2">
        <f>1865/151.67</f>
        <v>12.296433045427573</v>
      </c>
      <c r="E76" s="2">
        <f>2060/151.67</f>
        <v>13.58211907430606</v>
      </c>
      <c r="F76" s="2">
        <f>2235/151.67</f>
        <v>14.73593986945342</v>
      </c>
      <c r="G76" s="2">
        <f>2403.6/151.67</f>
        <v>15.847563789806818</v>
      </c>
      <c r="H76" s="2">
        <f>2548.7/151.67</f>
        <v>16.804246060526143</v>
      </c>
    </row>
    <row r="77" spans="1:8" x14ac:dyDescent="0.25">
      <c r="A77" s="11" t="s">
        <v>82</v>
      </c>
      <c r="B77" s="2">
        <v>12.02</v>
      </c>
      <c r="C77" s="2">
        <v>12.1</v>
      </c>
      <c r="D77" s="2">
        <v>12.37</v>
      </c>
      <c r="E77" s="2">
        <v>13.26</v>
      </c>
      <c r="F77" s="2">
        <v>14.06</v>
      </c>
      <c r="G77" s="2">
        <v>14.9</v>
      </c>
      <c r="H77" s="2">
        <v>16.32</v>
      </c>
    </row>
    <row r="78" spans="1:8" x14ac:dyDescent="0.25">
      <c r="A78" s="11" t="s">
        <v>83</v>
      </c>
      <c r="B78" s="2">
        <v>12.02</v>
      </c>
      <c r="C78" s="2">
        <v>12.03</v>
      </c>
      <c r="D78" s="2">
        <v>12.28</v>
      </c>
      <c r="E78" s="2">
        <v>13.46</v>
      </c>
      <c r="F78" s="2">
        <v>14.4</v>
      </c>
      <c r="G78" s="2">
        <v>15.51</v>
      </c>
      <c r="H78" s="2">
        <v>16.46</v>
      </c>
    </row>
    <row r="79" spans="1:8" x14ac:dyDescent="0.25">
      <c r="A79" s="11" t="s">
        <v>84</v>
      </c>
      <c r="B79" s="2">
        <v>12.02</v>
      </c>
      <c r="C79" s="2">
        <v>12.1</v>
      </c>
      <c r="D79" s="2">
        <v>12.37</v>
      </c>
      <c r="E79" s="2">
        <v>13.26</v>
      </c>
      <c r="F79" s="2">
        <v>14.06</v>
      </c>
      <c r="G79" s="2">
        <v>14.9</v>
      </c>
      <c r="H79" s="2">
        <v>16.32</v>
      </c>
    </row>
    <row r="80" spans="1:8" x14ac:dyDescent="0.25">
      <c r="A80" s="11" t="s">
        <v>85</v>
      </c>
      <c r="B80" s="2">
        <v>12.02</v>
      </c>
      <c r="C80" s="2">
        <v>12.1</v>
      </c>
      <c r="D80" s="2">
        <v>12.37</v>
      </c>
      <c r="E80" s="2">
        <v>13.26</v>
      </c>
      <c r="F80" s="2">
        <v>14.06</v>
      </c>
      <c r="G80" s="2">
        <v>14.9</v>
      </c>
      <c r="H80" s="2">
        <v>16.32</v>
      </c>
    </row>
    <row r="81" spans="1:8" x14ac:dyDescent="0.25">
      <c r="A81" s="11" t="s">
        <v>86</v>
      </c>
      <c r="B81" s="2">
        <v>12.12</v>
      </c>
      <c r="C81" s="2">
        <v>12.28</v>
      </c>
      <c r="D81" s="2">
        <v>12.61</v>
      </c>
      <c r="E81" s="2">
        <v>13.67</v>
      </c>
      <c r="F81" s="2">
        <v>14.7</v>
      </c>
      <c r="G81" s="2">
        <v>15.82</v>
      </c>
      <c r="H81" s="2">
        <v>16.88</v>
      </c>
    </row>
    <row r="82" spans="1:8" x14ac:dyDescent="0.25">
      <c r="A82" s="11" t="s">
        <v>87</v>
      </c>
      <c r="B82" s="2">
        <v>12.02</v>
      </c>
      <c r="C82" s="2">
        <v>12.09</v>
      </c>
      <c r="D82" s="2">
        <v>12.72</v>
      </c>
      <c r="E82" s="2">
        <v>13.74</v>
      </c>
      <c r="F82" s="2">
        <v>14.77</v>
      </c>
      <c r="G82" s="2">
        <v>16.07</v>
      </c>
      <c r="H82" s="2">
        <v>17.25</v>
      </c>
    </row>
    <row r="83" spans="1:8" x14ac:dyDescent="0.25">
      <c r="A83" s="11" t="s">
        <v>88</v>
      </c>
      <c r="B83" s="2">
        <v>12.02</v>
      </c>
      <c r="C83" s="2">
        <v>12.02</v>
      </c>
      <c r="D83" s="2">
        <v>12.31</v>
      </c>
      <c r="E83" s="2">
        <v>13.49</v>
      </c>
      <c r="F83" s="2">
        <v>14.55</v>
      </c>
      <c r="G83" s="2">
        <v>15.4</v>
      </c>
      <c r="H83" s="2">
        <v>16.48</v>
      </c>
    </row>
    <row r="84" spans="1:8" x14ac:dyDescent="0.25">
      <c r="A84" s="11" t="s">
        <v>89</v>
      </c>
      <c r="B84" s="2">
        <v>12.02</v>
      </c>
      <c r="C84" s="2">
        <v>12.02</v>
      </c>
      <c r="D84" s="2">
        <v>12.31</v>
      </c>
      <c r="E84" s="2">
        <v>13.49</v>
      </c>
      <c r="F84" s="2">
        <v>14.55</v>
      </c>
      <c r="G84" s="2">
        <v>15.4</v>
      </c>
      <c r="H84" s="2">
        <v>16.48</v>
      </c>
    </row>
    <row r="85" spans="1:8" x14ac:dyDescent="0.25">
      <c r="A85" s="11" t="s">
        <v>90</v>
      </c>
      <c r="B85" s="2">
        <f>1837.8/151.67</f>
        <v>12.117096327553242</v>
      </c>
      <c r="C85" s="2">
        <f>1868.43/151.67</f>
        <v>12.319047933012463</v>
      </c>
      <c r="D85" s="2">
        <f>1975.12/151.67</f>
        <v>13.022483022351157</v>
      </c>
      <c r="E85" s="2">
        <f>2170.8/151.67</f>
        <v>14.312652469176504</v>
      </c>
      <c r="F85" s="2">
        <f>2340.59/151.67</f>
        <v>15.432122370936904</v>
      </c>
      <c r="G85" s="2">
        <f>2510.38/151.67</f>
        <v>16.551592272697306</v>
      </c>
      <c r="H85" s="2">
        <f>2680.18/151.67</f>
        <v>17.671128107074569</v>
      </c>
    </row>
    <row r="86" spans="1:8" x14ac:dyDescent="0.25">
      <c r="A86" s="11" t="s">
        <v>91</v>
      </c>
      <c r="B86" s="2">
        <f>1837.8/151.67</f>
        <v>12.117096327553242</v>
      </c>
      <c r="C86" s="2">
        <f>1868.43/151.67</f>
        <v>12.319047933012463</v>
      </c>
      <c r="D86" s="2">
        <f>1975.12/151.67</f>
        <v>13.022483022351157</v>
      </c>
      <c r="E86" s="2">
        <f>2170.8/151.67</f>
        <v>14.312652469176504</v>
      </c>
      <c r="F86" s="2">
        <f>2340.59/151.67</f>
        <v>15.432122370936904</v>
      </c>
      <c r="G86" s="2">
        <f>2510.38/151.67</f>
        <v>16.551592272697306</v>
      </c>
      <c r="H86" s="2">
        <f>2680.18/151.67</f>
        <v>17.671128107074569</v>
      </c>
    </row>
    <row r="87" spans="1:8" x14ac:dyDescent="0.25">
      <c r="A87" s="11" t="s">
        <v>92</v>
      </c>
      <c r="B87" s="2">
        <v>12.02</v>
      </c>
      <c r="C87" s="2">
        <v>12.02</v>
      </c>
      <c r="D87" s="2">
        <v>12.05</v>
      </c>
      <c r="E87" s="2">
        <v>13.34</v>
      </c>
      <c r="F87" s="2">
        <v>14.51</v>
      </c>
      <c r="G87" s="2">
        <v>15.68</v>
      </c>
      <c r="H87" s="2">
        <v>16.84</v>
      </c>
    </row>
    <row r="88" spans="1:8" x14ac:dyDescent="0.25">
      <c r="A88" s="11" t="s">
        <v>93</v>
      </c>
      <c r="B88" s="2">
        <v>12.12</v>
      </c>
      <c r="C88" s="2">
        <v>12.28</v>
      </c>
      <c r="D88" s="2">
        <v>12.61</v>
      </c>
      <c r="E88" s="2">
        <v>13.67</v>
      </c>
      <c r="F88" s="2">
        <v>14.7</v>
      </c>
      <c r="G88" s="2">
        <v>15.82</v>
      </c>
      <c r="H88" s="2">
        <v>16.88</v>
      </c>
    </row>
    <row r="89" spans="1:8" x14ac:dyDescent="0.25">
      <c r="A89" s="11" t="s">
        <v>94</v>
      </c>
      <c r="B89" s="2">
        <v>12.12</v>
      </c>
      <c r="C89" s="2">
        <v>12.28</v>
      </c>
      <c r="D89" s="2">
        <v>12.61</v>
      </c>
      <c r="E89" s="2">
        <v>13.67</v>
      </c>
      <c r="F89" s="2">
        <v>14.7</v>
      </c>
      <c r="G89" s="2">
        <v>15.82</v>
      </c>
      <c r="H89" s="2">
        <v>16.88</v>
      </c>
    </row>
    <row r="90" spans="1:8" x14ac:dyDescent="0.25">
      <c r="A90" s="11" t="s">
        <v>95</v>
      </c>
      <c r="B90" s="2">
        <v>12.02</v>
      </c>
      <c r="C90" s="2">
        <v>12.29</v>
      </c>
      <c r="D90" s="2">
        <v>12.51</v>
      </c>
      <c r="E90" s="9">
        <v>13.86</v>
      </c>
      <c r="F90" s="9">
        <v>14.75</v>
      </c>
      <c r="G90" s="9">
        <v>15.79</v>
      </c>
      <c r="H90" s="9">
        <v>17</v>
      </c>
    </row>
    <row r="91" spans="1:8" x14ac:dyDescent="0.25">
      <c r="A91" s="11" t="s">
        <v>96</v>
      </c>
      <c r="B91" s="2">
        <v>12.02</v>
      </c>
      <c r="C91" s="2">
        <v>12.131600000000001</v>
      </c>
      <c r="D91" s="2">
        <v>12.3558</v>
      </c>
      <c r="E91" s="2">
        <v>13.5228</v>
      </c>
      <c r="F91" s="2">
        <v>14.459</v>
      </c>
      <c r="G91" s="2">
        <v>15.395300000000001</v>
      </c>
      <c r="H91" s="2">
        <v>16.331499999999998</v>
      </c>
    </row>
    <row r="92" spans="1:8" x14ac:dyDescent="0.25">
      <c r="A92" s="11" t="s">
        <v>97</v>
      </c>
      <c r="B92" s="2">
        <v>12.02</v>
      </c>
      <c r="C92" s="2">
        <v>12.131600000000001</v>
      </c>
      <c r="D92" s="2">
        <v>12.3558</v>
      </c>
      <c r="E92" s="2">
        <v>13.5228</v>
      </c>
      <c r="F92" s="2">
        <v>14.459</v>
      </c>
      <c r="G92" s="2">
        <v>15.395300000000001</v>
      </c>
      <c r="H92" s="2">
        <v>16.331499999999998</v>
      </c>
    </row>
    <row r="93" spans="1:8" x14ac:dyDescent="0.25">
      <c r="A93" s="11" t="s">
        <v>98</v>
      </c>
      <c r="B93" s="2">
        <v>12.02</v>
      </c>
      <c r="C93" s="2">
        <v>12.1</v>
      </c>
      <c r="D93" s="2">
        <v>12.37</v>
      </c>
      <c r="E93" s="2">
        <v>13.26</v>
      </c>
      <c r="F93" s="2">
        <v>14.06</v>
      </c>
      <c r="G93" s="2">
        <v>14.9</v>
      </c>
      <c r="H93" s="2">
        <v>16.32</v>
      </c>
    </row>
    <row r="94" spans="1:8" x14ac:dyDescent="0.25">
      <c r="A94" s="11" t="s">
        <v>99</v>
      </c>
      <c r="B94" s="2">
        <v>12.02</v>
      </c>
      <c r="C94" s="2">
        <v>12.1</v>
      </c>
      <c r="D94" s="2">
        <v>12.37</v>
      </c>
      <c r="E94" s="2">
        <v>13.26</v>
      </c>
      <c r="F94" s="2">
        <v>14.06</v>
      </c>
      <c r="G94" s="2">
        <v>14.9</v>
      </c>
      <c r="H94" s="2">
        <v>16.32</v>
      </c>
    </row>
    <row r="95" spans="1:8" x14ac:dyDescent="0.25">
      <c r="A95" s="11" t="s">
        <v>100</v>
      </c>
      <c r="B95" s="2">
        <v>12.02</v>
      </c>
      <c r="C95" s="2">
        <v>12.1</v>
      </c>
      <c r="D95" s="2">
        <v>12.37</v>
      </c>
      <c r="E95" s="2">
        <v>13.26</v>
      </c>
      <c r="F95" s="2">
        <v>14.06</v>
      </c>
      <c r="G95" s="2">
        <v>14.9</v>
      </c>
      <c r="H95" s="2">
        <v>16.32</v>
      </c>
    </row>
    <row r="96" spans="1:8" x14ac:dyDescent="0.25">
      <c r="A96" s="11" t="s">
        <v>101</v>
      </c>
      <c r="B96" s="2">
        <v>12.02</v>
      </c>
      <c r="C96" s="2">
        <v>12.1</v>
      </c>
      <c r="D96" s="2">
        <v>12.37</v>
      </c>
      <c r="E96" s="2">
        <v>13.26</v>
      </c>
      <c r="F96" s="2">
        <v>14.06</v>
      </c>
      <c r="G96" s="2">
        <v>14.9</v>
      </c>
      <c r="H96" s="2">
        <v>16.32</v>
      </c>
    </row>
    <row r="97" spans="1:8" x14ac:dyDescent="0.25">
      <c r="A97" s="11" t="s">
        <v>102</v>
      </c>
      <c r="B97" s="2">
        <v>12.02</v>
      </c>
      <c r="C97" s="2">
        <v>12.1</v>
      </c>
      <c r="D97" s="2">
        <v>12.37</v>
      </c>
      <c r="E97" s="2">
        <v>13.26</v>
      </c>
      <c r="F97" s="2">
        <v>14.06</v>
      </c>
      <c r="G97" s="2">
        <v>14.9</v>
      </c>
      <c r="H97" s="2">
        <v>16.32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EC8F-5516-4A74-B0DD-57560D8D2316}">
  <dimension ref="A1:G97"/>
  <sheetViews>
    <sheetView workbookViewId="0">
      <selection sqref="A1:A1048576"/>
    </sheetView>
  </sheetViews>
  <sheetFormatPr baseColWidth="10" defaultColWidth="9.140625" defaultRowHeight="15" x14ac:dyDescent="0.25"/>
  <cols>
    <col min="1" max="1" width="9.140625" style="11"/>
    <col min="2" max="2" width="19.5703125" bestFit="1" customWidth="1"/>
    <col min="3" max="3" width="20" bestFit="1" customWidth="1"/>
    <col min="4" max="4" width="20.85546875" bestFit="1" customWidth="1"/>
    <col min="5" max="5" width="21.5703125" bestFit="1" customWidth="1"/>
    <col min="6" max="6" width="21.7109375" bestFit="1" customWidth="1"/>
    <col min="7" max="7" width="17.85546875" bestFit="1" customWidth="1"/>
  </cols>
  <sheetData>
    <row r="1" spans="1:7" x14ac:dyDescent="0.25">
      <c r="A1" s="10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 spans="1:7" x14ac:dyDescent="0.25">
      <c r="A2" s="11" t="s">
        <v>7</v>
      </c>
      <c r="B2" s="3">
        <v>0.83</v>
      </c>
      <c r="C2" s="4">
        <v>2.88</v>
      </c>
      <c r="D2" s="4">
        <v>6.05</v>
      </c>
      <c r="E2" s="4">
        <v>10.119999999999999</v>
      </c>
      <c r="F2" s="4">
        <v>14.2</v>
      </c>
      <c r="G2" s="5">
        <v>18.260000000000002</v>
      </c>
    </row>
    <row r="3" spans="1:7" x14ac:dyDescent="0.25">
      <c r="A3" s="11" t="s">
        <v>8</v>
      </c>
      <c r="B3" s="3">
        <v>2.64</v>
      </c>
      <c r="C3" s="4">
        <v>2.64</v>
      </c>
      <c r="D3" s="4">
        <v>6.26</v>
      </c>
      <c r="E3" s="4">
        <v>9.69</v>
      </c>
      <c r="F3" s="4">
        <v>12.73</v>
      </c>
      <c r="G3" s="5">
        <v>16.28</v>
      </c>
    </row>
    <row r="4" spans="1:7" x14ac:dyDescent="0.25">
      <c r="A4" s="11" t="s">
        <v>9</v>
      </c>
      <c r="B4" s="3">
        <v>0.83</v>
      </c>
      <c r="C4" s="4">
        <v>1.9</v>
      </c>
      <c r="D4" s="4">
        <v>5.6</v>
      </c>
      <c r="E4" s="4">
        <v>8.83</v>
      </c>
      <c r="F4" s="4">
        <v>12.22</v>
      </c>
      <c r="G4" s="5">
        <v>15.43</v>
      </c>
    </row>
    <row r="5" spans="1:7" x14ac:dyDescent="0.25">
      <c r="A5" s="11" t="s">
        <v>10</v>
      </c>
      <c r="B5" s="3">
        <v>3.65</v>
      </c>
      <c r="C5" s="4">
        <v>3.65</v>
      </c>
      <c r="D5" s="4">
        <v>6.42</v>
      </c>
      <c r="E5" s="4">
        <v>8.6300000000000008</v>
      </c>
      <c r="F5" s="4">
        <v>11.26</v>
      </c>
      <c r="G5" s="5">
        <v>14.8</v>
      </c>
    </row>
    <row r="6" spans="1:7" x14ac:dyDescent="0.25">
      <c r="A6" s="11" t="s">
        <v>11</v>
      </c>
      <c r="B6" s="3">
        <v>3.65</v>
      </c>
      <c r="C6" s="4">
        <v>3.65</v>
      </c>
      <c r="D6" s="4">
        <v>6.42</v>
      </c>
      <c r="E6" s="4">
        <v>8.6300000000000008</v>
      </c>
      <c r="F6" s="4">
        <v>11.26</v>
      </c>
      <c r="G6" s="5">
        <v>14.8</v>
      </c>
    </row>
    <row r="7" spans="1:7" x14ac:dyDescent="0.25">
      <c r="A7" s="11" t="s">
        <v>12</v>
      </c>
      <c r="B7" s="3">
        <v>3.65</v>
      </c>
      <c r="C7" s="4">
        <v>3.65</v>
      </c>
      <c r="D7" s="4">
        <v>6.42</v>
      </c>
      <c r="E7" s="4">
        <v>8.6300000000000008</v>
      </c>
      <c r="F7" s="4">
        <v>11.26</v>
      </c>
      <c r="G7" s="5">
        <v>14.8</v>
      </c>
    </row>
    <row r="8" spans="1:7" x14ac:dyDescent="0.25">
      <c r="A8" s="11" t="s">
        <v>13</v>
      </c>
      <c r="B8" s="3">
        <v>1.85</v>
      </c>
      <c r="C8" s="4">
        <v>3.14</v>
      </c>
      <c r="D8" s="4">
        <v>5.96</v>
      </c>
      <c r="E8" s="4">
        <v>9.59</v>
      </c>
      <c r="F8" s="4">
        <v>13.46</v>
      </c>
      <c r="G8" s="5">
        <v>17.170000000000002</v>
      </c>
    </row>
    <row r="9" spans="1:7" x14ac:dyDescent="0.25">
      <c r="A9" s="11" t="s">
        <v>14</v>
      </c>
      <c r="B9" s="3">
        <v>2.8</v>
      </c>
      <c r="C9" s="4">
        <v>2.8</v>
      </c>
      <c r="D9" s="4">
        <v>4.7</v>
      </c>
      <c r="E9" s="4">
        <v>7.45</v>
      </c>
      <c r="F9" s="4">
        <v>9.8000000000000007</v>
      </c>
      <c r="G9" s="5">
        <v>11.8</v>
      </c>
    </row>
    <row r="10" spans="1:7" x14ac:dyDescent="0.25">
      <c r="A10" s="11" t="s">
        <v>15</v>
      </c>
      <c r="B10" s="3">
        <v>3.19</v>
      </c>
      <c r="C10" s="3">
        <v>3.19</v>
      </c>
      <c r="D10" s="4">
        <v>6.43</v>
      </c>
      <c r="E10" s="4">
        <v>9.59</v>
      </c>
      <c r="F10" s="4">
        <v>12.7</v>
      </c>
      <c r="G10" s="5">
        <v>16.13</v>
      </c>
    </row>
    <row r="11" spans="1:7" x14ac:dyDescent="0.25">
      <c r="A11" s="11" t="s">
        <v>16</v>
      </c>
      <c r="B11" s="3">
        <v>2.8</v>
      </c>
      <c r="C11" s="4">
        <v>2.8</v>
      </c>
      <c r="D11" s="4">
        <v>4.7</v>
      </c>
      <c r="E11" s="4">
        <v>7.45</v>
      </c>
      <c r="F11" s="4">
        <v>9.8000000000000007</v>
      </c>
      <c r="G11" s="5">
        <v>11.8</v>
      </c>
    </row>
    <row r="12" spans="1:7" x14ac:dyDescent="0.25">
      <c r="A12" s="11" t="s">
        <v>17</v>
      </c>
      <c r="B12" s="3">
        <v>3.19</v>
      </c>
      <c r="C12" s="3">
        <v>3.19</v>
      </c>
      <c r="D12" s="4">
        <v>6.43</v>
      </c>
      <c r="E12" s="4">
        <v>9.59</v>
      </c>
      <c r="F12" s="4">
        <v>12.7</v>
      </c>
      <c r="G12" s="5">
        <v>16.13</v>
      </c>
    </row>
    <row r="13" spans="1:7" x14ac:dyDescent="0.25">
      <c r="A13" s="11" t="s">
        <v>18</v>
      </c>
      <c r="B13" s="3">
        <v>3.19</v>
      </c>
      <c r="C13" s="3">
        <v>3.19</v>
      </c>
      <c r="D13" s="4">
        <v>6.43</v>
      </c>
      <c r="E13" s="4">
        <v>9.59</v>
      </c>
      <c r="F13" s="4">
        <v>12.7</v>
      </c>
      <c r="G13" s="5">
        <v>16.13</v>
      </c>
    </row>
    <row r="14" spans="1:7" x14ac:dyDescent="0.25">
      <c r="A14" s="11" t="s">
        <v>19</v>
      </c>
      <c r="B14" s="3">
        <v>3.65</v>
      </c>
      <c r="C14" s="4">
        <v>3.65</v>
      </c>
      <c r="D14" s="4">
        <v>6.42</v>
      </c>
      <c r="E14" s="4">
        <v>8.6300000000000008</v>
      </c>
      <c r="F14" s="4">
        <v>11.26</v>
      </c>
      <c r="G14" s="5">
        <v>14.8</v>
      </c>
    </row>
    <row r="15" spans="1:7" x14ac:dyDescent="0.25">
      <c r="A15" s="11" t="s">
        <v>20</v>
      </c>
      <c r="B15" s="3">
        <v>3.04</v>
      </c>
      <c r="C15" s="3">
        <v>3.04</v>
      </c>
      <c r="D15" s="4">
        <v>6.7</v>
      </c>
      <c r="E15" s="4">
        <v>10.050000000000001</v>
      </c>
      <c r="F15" s="4">
        <v>14.08</v>
      </c>
      <c r="G15" s="5">
        <v>18.100000000000001</v>
      </c>
    </row>
    <row r="16" spans="1:7" x14ac:dyDescent="0.25">
      <c r="A16" s="11" t="s">
        <v>21</v>
      </c>
      <c r="B16" s="3">
        <v>0.83</v>
      </c>
      <c r="C16" s="4">
        <v>1.9</v>
      </c>
      <c r="D16" s="4">
        <v>5.6</v>
      </c>
      <c r="E16" s="4">
        <v>8.83</v>
      </c>
      <c r="F16" s="4">
        <v>12.22</v>
      </c>
      <c r="G16" s="5">
        <v>15.43</v>
      </c>
    </row>
    <row r="17" spans="1:7" x14ac:dyDescent="0.25">
      <c r="A17" s="11" t="s">
        <v>22</v>
      </c>
      <c r="B17" s="3">
        <v>0.89</v>
      </c>
      <c r="C17" s="4">
        <v>2.35</v>
      </c>
      <c r="D17" s="4">
        <v>5.12</v>
      </c>
      <c r="E17" s="4">
        <v>8.5</v>
      </c>
      <c r="F17" s="4">
        <v>11.93</v>
      </c>
      <c r="G17" s="5">
        <v>15.33</v>
      </c>
    </row>
    <row r="18" spans="1:7" x14ac:dyDescent="0.25">
      <c r="A18" s="11" t="s">
        <v>23</v>
      </c>
      <c r="B18" s="3">
        <v>0.89</v>
      </c>
      <c r="C18" s="4">
        <v>2.35</v>
      </c>
      <c r="D18" s="4">
        <v>5.12</v>
      </c>
      <c r="E18" s="4">
        <v>8.5</v>
      </c>
      <c r="F18" s="4">
        <v>11.93</v>
      </c>
      <c r="G18" s="5">
        <v>15.33</v>
      </c>
    </row>
    <row r="19" spans="1:7" x14ac:dyDescent="0.25">
      <c r="A19" s="11" t="s">
        <v>24</v>
      </c>
      <c r="B19" s="3">
        <v>0.53</v>
      </c>
      <c r="C19" s="4">
        <v>3.76</v>
      </c>
      <c r="D19" s="4">
        <v>7.91</v>
      </c>
      <c r="E19" s="4">
        <v>11.69</v>
      </c>
      <c r="F19" s="4">
        <v>16.190000000000001</v>
      </c>
      <c r="G19" s="5">
        <v>20.71</v>
      </c>
    </row>
    <row r="20" spans="1:7" x14ac:dyDescent="0.25">
      <c r="A20" s="11" t="s">
        <v>25</v>
      </c>
      <c r="B20" s="3">
        <v>0.89</v>
      </c>
      <c r="C20" s="4">
        <v>2.35</v>
      </c>
      <c r="D20" s="4">
        <v>5.12</v>
      </c>
      <c r="E20" s="4">
        <v>8.5</v>
      </c>
      <c r="F20" s="4">
        <v>11.93</v>
      </c>
      <c r="G20" s="5">
        <v>15.33</v>
      </c>
    </row>
    <row r="21" spans="1:7" x14ac:dyDescent="0.25">
      <c r="A21" s="11" t="s">
        <v>26</v>
      </c>
      <c r="B21" s="3">
        <v>2.65</v>
      </c>
      <c r="C21" s="4">
        <v>2.65</v>
      </c>
      <c r="D21" s="4">
        <v>5.57</v>
      </c>
      <c r="E21" s="4">
        <v>9.06</v>
      </c>
      <c r="F21" s="4">
        <v>11.67</v>
      </c>
      <c r="G21" s="5">
        <v>14.51</v>
      </c>
    </row>
    <row r="22" spans="1:7" x14ac:dyDescent="0.25">
      <c r="A22" s="11" t="s">
        <v>27</v>
      </c>
      <c r="B22" s="3">
        <v>0.57999999999999996</v>
      </c>
      <c r="C22" s="4">
        <v>2.86</v>
      </c>
      <c r="D22" s="4">
        <v>5.73</v>
      </c>
      <c r="E22" s="4">
        <v>7.86</v>
      </c>
      <c r="F22" s="4">
        <v>10.08</v>
      </c>
      <c r="G22" s="5">
        <v>12.27</v>
      </c>
    </row>
    <row r="23" spans="1:7" x14ac:dyDescent="0.25">
      <c r="A23" s="11" t="s">
        <v>28</v>
      </c>
      <c r="B23" s="3">
        <v>0.89</v>
      </c>
      <c r="C23" s="4">
        <v>2.35</v>
      </c>
      <c r="D23" s="4">
        <v>5.12</v>
      </c>
      <c r="E23" s="4">
        <v>8.5</v>
      </c>
      <c r="F23" s="4">
        <v>11.93</v>
      </c>
      <c r="G23" s="5">
        <v>15.33</v>
      </c>
    </row>
    <row r="24" spans="1:7" x14ac:dyDescent="0.25">
      <c r="A24" s="11" t="s">
        <v>29</v>
      </c>
      <c r="B24" s="3">
        <v>0.89</v>
      </c>
      <c r="C24" s="4">
        <v>2.35</v>
      </c>
      <c r="D24" s="4">
        <v>5.12</v>
      </c>
      <c r="E24" s="4">
        <v>8.5</v>
      </c>
      <c r="F24" s="4">
        <v>11.93</v>
      </c>
      <c r="G24" s="5">
        <v>15.33</v>
      </c>
    </row>
    <row r="25" spans="1:7" x14ac:dyDescent="0.25">
      <c r="A25" s="11" t="s">
        <v>30</v>
      </c>
      <c r="B25" s="3">
        <v>2.65</v>
      </c>
      <c r="C25" s="4">
        <v>2.65</v>
      </c>
      <c r="D25" s="4">
        <v>5.57</v>
      </c>
      <c r="E25" s="4">
        <v>9.06</v>
      </c>
      <c r="F25" s="4">
        <v>11.67</v>
      </c>
      <c r="G25" s="5">
        <v>14.51</v>
      </c>
    </row>
    <row r="26" spans="1:7" x14ac:dyDescent="0.25">
      <c r="A26" s="11" t="s">
        <v>31</v>
      </c>
      <c r="B26" s="3">
        <v>1.85</v>
      </c>
      <c r="C26" s="4">
        <v>3.14</v>
      </c>
      <c r="D26" s="4">
        <v>5.96</v>
      </c>
      <c r="E26" s="4">
        <v>9.59</v>
      </c>
      <c r="F26" s="4">
        <v>13.46</v>
      </c>
      <c r="G26" s="5">
        <v>17.170000000000002</v>
      </c>
    </row>
    <row r="27" spans="1:7" x14ac:dyDescent="0.25">
      <c r="A27" s="11" t="s">
        <v>32</v>
      </c>
      <c r="B27" s="3">
        <v>3.04</v>
      </c>
      <c r="C27" s="3">
        <v>3.04</v>
      </c>
      <c r="D27" s="4">
        <v>6.7</v>
      </c>
      <c r="E27" s="4">
        <v>10.050000000000001</v>
      </c>
      <c r="F27" s="4">
        <v>14.08</v>
      </c>
      <c r="G27" s="5">
        <v>18.100000000000001</v>
      </c>
    </row>
    <row r="28" spans="1:7" x14ac:dyDescent="0.25">
      <c r="A28" s="11" t="s">
        <v>33</v>
      </c>
      <c r="B28" s="3">
        <v>0.53</v>
      </c>
      <c r="C28" s="4">
        <v>3.76</v>
      </c>
      <c r="D28" s="4">
        <v>7.91</v>
      </c>
      <c r="E28" s="4">
        <v>11.69</v>
      </c>
      <c r="F28" s="4">
        <v>16.190000000000001</v>
      </c>
      <c r="G28" s="5">
        <v>20.71</v>
      </c>
    </row>
    <row r="29" spans="1:7" x14ac:dyDescent="0.25">
      <c r="A29" s="11" t="s">
        <v>34</v>
      </c>
      <c r="B29" s="3">
        <v>0.57999999999999996</v>
      </c>
      <c r="C29" s="4">
        <v>2.86</v>
      </c>
      <c r="D29" s="4">
        <v>5.73</v>
      </c>
      <c r="E29" s="4">
        <v>7.86</v>
      </c>
      <c r="F29" s="4">
        <v>10.08</v>
      </c>
      <c r="G29" s="5">
        <v>12.27</v>
      </c>
    </row>
    <row r="30" spans="1:7" x14ac:dyDescent="0.25">
      <c r="A30" s="11" t="s">
        <v>35</v>
      </c>
      <c r="B30" s="3">
        <v>2.54</v>
      </c>
      <c r="C30" s="4">
        <v>2.54</v>
      </c>
      <c r="D30" s="4">
        <v>5.26</v>
      </c>
      <c r="E30" s="4">
        <v>8.2200000000000006</v>
      </c>
      <c r="F30" s="4">
        <v>11.26</v>
      </c>
      <c r="G30" s="5">
        <v>14.36</v>
      </c>
    </row>
    <row r="31" spans="1:7" x14ac:dyDescent="0.25">
      <c r="A31" s="11" t="s">
        <v>36</v>
      </c>
      <c r="B31" s="3">
        <v>2.54</v>
      </c>
      <c r="C31" s="4">
        <v>2.54</v>
      </c>
      <c r="D31" s="4">
        <v>5.26</v>
      </c>
      <c r="E31" s="4">
        <v>8.2200000000000006</v>
      </c>
      <c r="F31" s="4">
        <v>11.26</v>
      </c>
      <c r="G31" s="5">
        <v>14.36</v>
      </c>
    </row>
    <row r="32" spans="1:7" x14ac:dyDescent="0.25">
      <c r="A32" s="11" t="s">
        <v>37</v>
      </c>
      <c r="B32" s="3">
        <v>3.19</v>
      </c>
      <c r="C32" s="3">
        <v>3.19</v>
      </c>
      <c r="D32" s="4">
        <v>6.43</v>
      </c>
      <c r="E32" s="4">
        <v>9.59</v>
      </c>
      <c r="F32" s="4">
        <v>12.7</v>
      </c>
      <c r="G32" s="5">
        <v>16.13</v>
      </c>
    </row>
    <row r="33" spans="1:7" x14ac:dyDescent="0.25">
      <c r="A33" s="11" t="s">
        <v>38</v>
      </c>
      <c r="B33" s="3">
        <v>3.19</v>
      </c>
      <c r="C33" s="3">
        <v>3.19</v>
      </c>
      <c r="D33" s="4">
        <v>6.43</v>
      </c>
      <c r="E33" s="4">
        <v>9.59</v>
      </c>
      <c r="F33" s="4">
        <v>12.7</v>
      </c>
      <c r="G33" s="5">
        <v>16.13</v>
      </c>
    </row>
    <row r="34" spans="1:7" x14ac:dyDescent="0.25">
      <c r="A34" s="11" t="s">
        <v>39</v>
      </c>
      <c r="B34" s="3">
        <v>3.19</v>
      </c>
      <c r="C34" s="3">
        <v>3.19</v>
      </c>
      <c r="D34" s="4">
        <v>6.43</v>
      </c>
      <c r="E34" s="4">
        <v>9.59</v>
      </c>
      <c r="F34" s="4">
        <v>12.7</v>
      </c>
      <c r="G34" s="5">
        <v>16.13</v>
      </c>
    </row>
    <row r="35" spans="1:7" x14ac:dyDescent="0.25">
      <c r="A35" s="11" t="s">
        <v>40</v>
      </c>
      <c r="B35" s="3">
        <v>0.89</v>
      </c>
      <c r="C35" s="4">
        <v>2.35</v>
      </c>
      <c r="D35" s="4">
        <v>5.12</v>
      </c>
      <c r="E35" s="4">
        <v>8.5</v>
      </c>
      <c r="F35" s="4">
        <v>11.93</v>
      </c>
      <c r="G35" s="5">
        <v>15.33</v>
      </c>
    </row>
    <row r="36" spans="1:7" x14ac:dyDescent="0.25">
      <c r="A36" s="11" t="s">
        <v>41</v>
      </c>
      <c r="B36" s="3">
        <v>3.19</v>
      </c>
      <c r="C36" s="3">
        <v>3.19</v>
      </c>
      <c r="D36" s="4">
        <v>6.43</v>
      </c>
      <c r="E36" s="4">
        <v>9.59</v>
      </c>
      <c r="F36" s="4">
        <v>12.7</v>
      </c>
      <c r="G36" s="5">
        <v>16.13</v>
      </c>
    </row>
    <row r="37" spans="1:7" x14ac:dyDescent="0.25">
      <c r="A37" s="11" t="s">
        <v>42</v>
      </c>
      <c r="B37" s="3">
        <v>0.57999999999999996</v>
      </c>
      <c r="C37" s="4">
        <v>2.86</v>
      </c>
      <c r="D37" s="4">
        <v>5.73</v>
      </c>
      <c r="E37" s="4">
        <v>7.86</v>
      </c>
      <c r="F37" s="4">
        <v>10.08</v>
      </c>
      <c r="G37" s="5">
        <v>12.27</v>
      </c>
    </row>
    <row r="38" spans="1:7" x14ac:dyDescent="0.25">
      <c r="A38" s="11" t="s">
        <v>43</v>
      </c>
      <c r="B38" s="3">
        <v>0.53</v>
      </c>
      <c r="C38" s="4">
        <v>3.76</v>
      </c>
      <c r="D38" s="4">
        <v>7.91</v>
      </c>
      <c r="E38" s="4">
        <v>11.69</v>
      </c>
      <c r="F38" s="4">
        <v>16.190000000000001</v>
      </c>
      <c r="G38" s="5">
        <v>20.71</v>
      </c>
    </row>
    <row r="39" spans="1:7" x14ac:dyDescent="0.25">
      <c r="A39" s="11" t="s">
        <v>44</v>
      </c>
      <c r="B39" s="3">
        <v>0.53</v>
      </c>
      <c r="C39" s="4">
        <v>3.76</v>
      </c>
      <c r="D39" s="4">
        <v>7.91</v>
      </c>
      <c r="E39" s="4">
        <v>11.69</v>
      </c>
      <c r="F39" s="4">
        <v>16.190000000000001</v>
      </c>
      <c r="G39" s="5">
        <v>20.71</v>
      </c>
    </row>
    <row r="40" spans="1:7" x14ac:dyDescent="0.25">
      <c r="A40" s="11" t="s">
        <v>45</v>
      </c>
      <c r="B40" s="3">
        <v>1.08</v>
      </c>
      <c r="C40" s="4">
        <v>3.28</v>
      </c>
      <c r="D40" s="4">
        <v>6.44</v>
      </c>
      <c r="E40" s="4">
        <v>10.52</v>
      </c>
      <c r="F40" s="4">
        <v>14.59</v>
      </c>
      <c r="G40" s="5">
        <v>18.399999999999999</v>
      </c>
    </row>
    <row r="41" spans="1:7" x14ac:dyDescent="0.25">
      <c r="A41" s="11" t="s">
        <v>46</v>
      </c>
      <c r="B41" s="3">
        <v>2.65</v>
      </c>
      <c r="C41" s="4">
        <v>2.65</v>
      </c>
      <c r="D41" s="4">
        <v>5.57</v>
      </c>
      <c r="E41" s="4">
        <v>9.06</v>
      </c>
      <c r="F41" s="4">
        <v>11.67</v>
      </c>
      <c r="G41" s="5">
        <v>14.51</v>
      </c>
    </row>
    <row r="42" spans="1:7" x14ac:dyDescent="0.25">
      <c r="A42" s="11" t="s">
        <v>47</v>
      </c>
      <c r="B42" s="3">
        <v>0.89</v>
      </c>
      <c r="C42" s="4">
        <v>2.35</v>
      </c>
      <c r="D42" s="4">
        <v>5.12</v>
      </c>
      <c r="E42" s="4">
        <v>8.5</v>
      </c>
      <c r="F42" s="4">
        <v>11.93</v>
      </c>
      <c r="G42" s="5">
        <v>15.33</v>
      </c>
    </row>
    <row r="43" spans="1:7" x14ac:dyDescent="0.25">
      <c r="A43" s="11" t="s">
        <v>48</v>
      </c>
      <c r="B43" s="3">
        <v>0.53</v>
      </c>
      <c r="C43" s="4">
        <v>3.76</v>
      </c>
      <c r="D43" s="4">
        <v>7.91</v>
      </c>
      <c r="E43" s="4">
        <v>11.69</v>
      </c>
      <c r="F43" s="4">
        <v>16.190000000000001</v>
      </c>
      <c r="G43" s="5">
        <v>20.71</v>
      </c>
    </row>
    <row r="44" spans="1:7" x14ac:dyDescent="0.25">
      <c r="A44" s="11" t="s">
        <v>49</v>
      </c>
      <c r="B44" s="3">
        <v>3.23</v>
      </c>
      <c r="C44" s="4">
        <v>3.23</v>
      </c>
      <c r="D44" s="4">
        <v>6.55</v>
      </c>
      <c r="E44" s="4">
        <v>10.66</v>
      </c>
      <c r="F44" s="4">
        <v>14.98</v>
      </c>
      <c r="G44" s="5">
        <v>19.52</v>
      </c>
    </row>
    <row r="45" spans="1:7" x14ac:dyDescent="0.25">
      <c r="A45" s="11" t="s">
        <v>50</v>
      </c>
      <c r="B45" s="3">
        <v>0.83</v>
      </c>
      <c r="C45" s="4">
        <v>1.9</v>
      </c>
      <c r="D45" s="4">
        <v>5.6</v>
      </c>
      <c r="E45" s="4">
        <v>8.83</v>
      </c>
      <c r="F45" s="4">
        <v>12.22</v>
      </c>
      <c r="G45" s="5">
        <v>15.43</v>
      </c>
    </row>
    <row r="46" spans="1:7" x14ac:dyDescent="0.25">
      <c r="A46" s="11" t="s">
        <v>51</v>
      </c>
      <c r="B46" s="3">
        <v>0.88</v>
      </c>
      <c r="C46" s="4">
        <v>1.1200000000000001</v>
      </c>
      <c r="D46" s="4">
        <v>4.37</v>
      </c>
      <c r="E46" s="4">
        <v>8.25</v>
      </c>
      <c r="F46" s="4">
        <v>12.63</v>
      </c>
      <c r="G46" s="5">
        <v>18.809999999999999</v>
      </c>
    </row>
    <row r="47" spans="1:7" x14ac:dyDescent="0.25">
      <c r="A47" s="11" t="s">
        <v>52</v>
      </c>
      <c r="B47" s="3">
        <v>0.53</v>
      </c>
      <c r="C47" s="4">
        <v>3.76</v>
      </c>
      <c r="D47" s="4">
        <v>7.91</v>
      </c>
      <c r="E47" s="4">
        <v>11.69</v>
      </c>
      <c r="F47" s="4">
        <v>16.190000000000001</v>
      </c>
      <c r="G47" s="5">
        <v>20.71</v>
      </c>
    </row>
    <row r="48" spans="1:7" x14ac:dyDescent="0.25">
      <c r="A48" s="11" t="s">
        <v>53</v>
      </c>
      <c r="B48" s="3">
        <v>3.19</v>
      </c>
      <c r="C48" s="3">
        <v>3.19</v>
      </c>
      <c r="D48" s="4">
        <v>6.43</v>
      </c>
      <c r="E48" s="4">
        <v>9.59</v>
      </c>
      <c r="F48" s="4">
        <v>12.7</v>
      </c>
      <c r="G48" s="5">
        <v>16.13</v>
      </c>
    </row>
    <row r="49" spans="1:7" x14ac:dyDescent="0.25">
      <c r="A49" s="11" t="s">
        <v>54</v>
      </c>
      <c r="B49" s="3">
        <v>0.89</v>
      </c>
      <c r="C49" s="4">
        <v>2.35</v>
      </c>
      <c r="D49" s="4">
        <v>5.12</v>
      </c>
      <c r="E49" s="4">
        <v>8.5</v>
      </c>
      <c r="F49" s="4">
        <v>11.93</v>
      </c>
      <c r="G49" s="5">
        <v>15.33</v>
      </c>
    </row>
    <row r="50" spans="1:7" x14ac:dyDescent="0.25">
      <c r="A50" s="11" t="s">
        <v>55</v>
      </c>
      <c r="B50" s="3">
        <v>3.19</v>
      </c>
      <c r="C50" s="3">
        <v>3.19</v>
      </c>
      <c r="D50" s="4">
        <v>6.43</v>
      </c>
      <c r="E50" s="4">
        <v>9.59</v>
      </c>
      <c r="F50" s="4">
        <v>12.7</v>
      </c>
      <c r="G50" s="5">
        <v>16.13</v>
      </c>
    </row>
    <row r="51" spans="1:7" x14ac:dyDescent="0.25">
      <c r="A51" s="11" t="s">
        <v>56</v>
      </c>
      <c r="B51" s="3">
        <v>0.88</v>
      </c>
      <c r="C51" s="4">
        <v>1.1200000000000001</v>
      </c>
      <c r="D51" s="4">
        <v>4.37</v>
      </c>
      <c r="E51" s="4">
        <v>8.25</v>
      </c>
      <c r="F51" s="4">
        <v>12.63</v>
      </c>
      <c r="G51" s="5">
        <v>18.809999999999999</v>
      </c>
    </row>
    <row r="52" spans="1:7" x14ac:dyDescent="0.25">
      <c r="A52" s="11" t="s">
        <v>57</v>
      </c>
      <c r="B52" s="3">
        <v>3.04</v>
      </c>
      <c r="C52" s="3">
        <v>3.04</v>
      </c>
      <c r="D52" s="4">
        <v>6.7</v>
      </c>
      <c r="E52" s="4">
        <v>10.050000000000001</v>
      </c>
      <c r="F52" s="4">
        <v>14.08</v>
      </c>
      <c r="G52" s="5">
        <v>18.100000000000001</v>
      </c>
    </row>
    <row r="53" spans="1:7" x14ac:dyDescent="0.25">
      <c r="A53" s="11" t="s">
        <v>58</v>
      </c>
      <c r="B53" s="3">
        <v>2.8</v>
      </c>
      <c r="C53" s="4">
        <v>2.8</v>
      </c>
      <c r="D53" s="4">
        <v>4.7</v>
      </c>
      <c r="E53" s="4">
        <v>7.45</v>
      </c>
      <c r="F53" s="4">
        <v>9.8000000000000007</v>
      </c>
      <c r="G53" s="5">
        <v>11.8</v>
      </c>
    </row>
    <row r="54" spans="1:7" x14ac:dyDescent="0.25">
      <c r="A54" s="11" t="s">
        <v>59</v>
      </c>
      <c r="B54" s="3">
        <v>2.8</v>
      </c>
      <c r="C54" s="4">
        <v>2.8</v>
      </c>
      <c r="D54" s="4">
        <v>4.7</v>
      </c>
      <c r="E54" s="4">
        <v>7.45</v>
      </c>
      <c r="F54" s="4">
        <v>9.8000000000000007</v>
      </c>
      <c r="G54" s="5">
        <v>11.8</v>
      </c>
    </row>
    <row r="55" spans="1:7" x14ac:dyDescent="0.25">
      <c r="A55" s="11" t="s">
        <v>60</v>
      </c>
      <c r="B55" s="3">
        <v>0.88</v>
      </c>
      <c r="C55" s="4">
        <v>1.1200000000000001</v>
      </c>
      <c r="D55" s="4">
        <v>4.37</v>
      </c>
      <c r="E55" s="4">
        <v>8.25</v>
      </c>
      <c r="F55" s="4">
        <v>12.63</v>
      </c>
      <c r="G55" s="5">
        <v>18.809999999999999</v>
      </c>
    </row>
    <row r="56" spans="1:7" x14ac:dyDescent="0.25">
      <c r="A56" s="11" t="s">
        <v>61</v>
      </c>
      <c r="B56" s="3">
        <v>2.8</v>
      </c>
      <c r="C56" s="4">
        <v>2.8</v>
      </c>
      <c r="D56" s="4">
        <v>4.7</v>
      </c>
      <c r="E56" s="4">
        <v>7.6</v>
      </c>
      <c r="F56" s="4">
        <v>11.45</v>
      </c>
      <c r="G56" s="5">
        <v>13.35</v>
      </c>
    </row>
    <row r="57" spans="1:7" x14ac:dyDescent="0.25">
      <c r="A57" s="11" t="s">
        <v>62</v>
      </c>
      <c r="B57" s="3">
        <v>2.8</v>
      </c>
      <c r="C57" s="4">
        <v>2.8</v>
      </c>
      <c r="D57" s="4">
        <v>4.7</v>
      </c>
      <c r="E57" s="4">
        <v>7.6</v>
      </c>
      <c r="F57" s="4">
        <v>11.45</v>
      </c>
      <c r="G57" s="5">
        <v>13.35</v>
      </c>
    </row>
    <row r="58" spans="1:7" x14ac:dyDescent="0.25">
      <c r="A58" s="11" t="s">
        <v>63</v>
      </c>
      <c r="B58" s="3">
        <v>0.57999999999999996</v>
      </c>
      <c r="C58" s="4">
        <v>2.86</v>
      </c>
      <c r="D58" s="4">
        <v>5.73</v>
      </c>
      <c r="E58" s="4">
        <v>7.86</v>
      </c>
      <c r="F58" s="4">
        <v>10.08</v>
      </c>
      <c r="G58" s="5">
        <v>12.27</v>
      </c>
    </row>
    <row r="59" spans="1:7" x14ac:dyDescent="0.25">
      <c r="A59" s="11" t="s">
        <v>64</v>
      </c>
      <c r="B59" s="3">
        <v>2.8</v>
      </c>
      <c r="C59" s="4">
        <v>2.8</v>
      </c>
      <c r="D59" s="4">
        <v>4.7</v>
      </c>
      <c r="E59" s="4">
        <v>7.6</v>
      </c>
      <c r="F59" s="4">
        <v>11.45</v>
      </c>
      <c r="G59" s="5">
        <v>13.35</v>
      </c>
    </row>
    <row r="60" spans="1:7" x14ac:dyDescent="0.25">
      <c r="A60" s="11" t="s">
        <v>65</v>
      </c>
      <c r="B60" s="3">
        <v>2.65</v>
      </c>
      <c r="C60" s="4">
        <v>2.65</v>
      </c>
      <c r="D60" s="4">
        <v>5.57</v>
      </c>
      <c r="E60" s="4">
        <v>9.06</v>
      </c>
      <c r="F60" s="4">
        <v>11.67</v>
      </c>
      <c r="G60" s="5">
        <v>14.51</v>
      </c>
    </row>
    <row r="61" spans="1:7" x14ac:dyDescent="0.25">
      <c r="A61" s="11" t="s">
        <v>66</v>
      </c>
      <c r="B61" s="3">
        <v>2.64</v>
      </c>
      <c r="C61" s="4">
        <v>2.64</v>
      </c>
      <c r="D61" s="4">
        <v>6.26</v>
      </c>
      <c r="E61" s="4">
        <v>9.69</v>
      </c>
      <c r="F61" s="4">
        <v>12.73</v>
      </c>
      <c r="G61" s="5">
        <v>16.28</v>
      </c>
    </row>
    <row r="62" spans="1:7" x14ac:dyDescent="0.25">
      <c r="A62" s="11" t="s">
        <v>67</v>
      </c>
      <c r="B62" s="3">
        <v>2.64</v>
      </c>
      <c r="C62" s="4">
        <v>2.64</v>
      </c>
      <c r="D62" s="4">
        <v>6.26</v>
      </c>
      <c r="E62" s="4">
        <v>9.69</v>
      </c>
      <c r="F62" s="4">
        <v>12.73</v>
      </c>
      <c r="G62" s="5">
        <v>16.28</v>
      </c>
    </row>
    <row r="63" spans="1:7" x14ac:dyDescent="0.25">
      <c r="A63" s="11" t="s">
        <v>68</v>
      </c>
      <c r="B63" s="3">
        <v>3.04</v>
      </c>
      <c r="C63" s="3">
        <v>3.04</v>
      </c>
      <c r="D63" s="4">
        <v>6.7</v>
      </c>
      <c r="E63" s="4">
        <v>10.050000000000001</v>
      </c>
      <c r="F63" s="4">
        <v>14.08</v>
      </c>
      <c r="G63" s="5">
        <v>18.100000000000001</v>
      </c>
    </row>
    <row r="64" spans="1:7" x14ac:dyDescent="0.25">
      <c r="A64" s="11" t="s">
        <v>69</v>
      </c>
      <c r="B64" s="3">
        <v>2.64</v>
      </c>
      <c r="C64" s="4">
        <v>2.64</v>
      </c>
      <c r="D64" s="4">
        <v>6.26</v>
      </c>
      <c r="E64" s="4">
        <v>9.69</v>
      </c>
      <c r="F64" s="4">
        <v>12.73</v>
      </c>
      <c r="G64" s="5">
        <v>16.28</v>
      </c>
    </row>
    <row r="65" spans="1:7" x14ac:dyDescent="0.25">
      <c r="A65" s="11" t="s">
        <v>70</v>
      </c>
      <c r="B65" s="3">
        <v>0.83</v>
      </c>
      <c r="C65" s="4">
        <v>1.9</v>
      </c>
      <c r="D65" s="4">
        <v>5.6</v>
      </c>
      <c r="E65" s="4">
        <v>8.83</v>
      </c>
      <c r="F65" s="4">
        <v>12.22</v>
      </c>
      <c r="G65" s="5">
        <v>15.43</v>
      </c>
    </row>
    <row r="66" spans="1:7" x14ac:dyDescent="0.25">
      <c r="A66" s="11" t="s">
        <v>71</v>
      </c>
      <c r="B66" s="3">
        <v>0.89</v>
      </c>
      <c r="C66" s="4">
        <v>2.35</v>
      </c>
      <c r="D66" s="4">
        <v>5.12</v>
      </c>
      <c r="E66" s="4">
        <v>8.5</v>
      </c>
      <c r="F66" s="4">
        <v>11.93</v>
      </c>
      <c r="G66" s="5">
        <v>15.33</v>
      </c>
    </row>
    <row r="67" spans="1:7" x14ac:dyDescent="0.25">
      <c r="A67" s="11" t="s">
        <v>72</v>
      </c>
      <c r="B67" s="3">
        <v>3.19</v>
      </c>
      <c r="C67" s="3">
        <v>3.19</v>
      </c>
      <c r="D67" s="4">
        <v>6.43</v>
      </c>
      <c r="E67" s="4">
        <v>9.59</v>
      </c>
      <c r="F67" s="4">
        <v>12.7</v>
      </c>
      <c r="G67" s="5">
        <v>16.13</v>
      </c>
    </row>
    <row r="68" spans="1:7" x14ac:dyDescent="0.25">
      <c r="A68" s="11" t="s">
        <v>73</v>
      </c>
      <c r="B68" s="3">
        <v>3.19</v>
      </c>
      <c r="C68" s="3">
        <v>3.19</v>
      </c>
      <c r="D68" s="4">
        <v>6.43</v>
      </c>
      <c r="E68" s="4">
        <v>9.59</v>
      </c>
      <c r="F68" s="4">
        <v>12.7</v>
      </c>
      <c r="G68" s="5">
        <v>16.13</v>
      </c>
    </row>
    <row r="69" spans="1:7" x14ac:dyDescent="0.25">
      <c r="A69" s="11" t="s">
        <v>74</v>
      </c>
      <c r="B69" s="3">
        <v>2.8</v>
      </c>
      <c r="C69" s="4">
        <v>2.8</v>
      </c>
      <c r="D69" s="4">
        <v>3.95</v>
      </c>
      <c r="E69" s="4">
        <v>5</v>
      </c>
      <c r="F69" s="4">
        <v>6.9</v>
      </c>
      <c r="G69" s="5">
        <v>8.1999999999999993</v>
      </c>
    </row>
    <row r="70" spans="1:7" x14ac:dyDescent="0.25">
      <c r="A70" s="11" t="s">
        <v>75</v>
      </c>
      <c r="B70" s="3">
        <v>2.8</v>
      </c>
      <c r="C70" s="4">
        <v>2.8</v>
      </c>
      <c r="D70" s="4">
        <v>3.95</v>
      </c>
      <c r="E70" s="4">
        <v>5</v>
      </c>
      <c r="F70" s="4">
        <v>6.9</v>
      </c>
      <c r="G70" s="5">
        <v>8.1999999999999993</v>
      </c>
    </row>
    <row r="71" spans="1:7" x14ac:dyDescent="0.25">
      <c r="A71" s="11" t="s">
        <v>76</v>
      </c>
      <c r="B71" s="4">
        <v>4.3600000000000003</v>
      </c>
      <c r="C71" s="4">
        <v>4.3600000000000003</v>
      </c>
      <c r="D71" s="4">
        <v>7.92</v>
      </c>
      <c r="E71" s="4">
        <v>12.04</v>
      </c>
      <c r="F71" s="4">
        <v>16.5</v>
      </c>
      <c r="G71" s="5">
        <v>20.71</v>
      </c>
    </row>
    <row r="72" spans="1:7" x14ac:dyDescent="0.25">
      <c r="A72" s="11" t="s">
        <v>77</v>
      </c>
      <c r="B72" s="3">
        <v>2.65</v>
      </c>
      <c r="C72" s="4">
        <v>2.65</v>
      </c>
      <c r="D72" s="4">
        <v>5.57</v>
      </c>
      <c r="E72" s="4">
        <v>9.06</v>
      </c>
      <c r="F72" s="4">
        <v>11.67</v>
      </c>
      <c r="G72" s="5">
        <v>14.51</v>
      </c>
    </row>
    <row r="73" spans="1:7" x14ac:dyDescent="0.25">
      <c r="A73" s="11" t="s">
        <v>78</v>
      </c>
      <c r="B73" s="3">
        <v>2.65</v>
      </c>
      <c r="C73" s="4">
        <v>2.65</v>
      </c>
      <c r="D73" s="4">
        <v>5.57</v>
      </c>
      <c r="E73" s="4">
        <v>9.06</v>
      </c>
      <c r="F73" s="4">
        <v>11.67</v>
      </c>
      <c r="G73" s="5">
        <v>14.51</v>
      </c>
    </row>
    <row r="74" spans="1:7" x14ac:dyDescent="0.25">
      <c r="A74" s="11" t="s">
        <v>79</v>
      </c>
      <c r="B74" s="3">
        <v>0.88</v>
      </c>
      <c r="C74" s="4">
        <v>1.1200000000000001</v>
      </c>
      <c r="D74" s="4">
        <v>4.37</v>
      </c>
      <c r="E74" s="4">
        <v>8.25</v>
      </c>
      <c r="F74" s="4">
        <v>12.63</v>
      </c>
      <c r="G74" s="5">
        <v>18.809999999999999</v>
      </c>
    </row>
    <row r="75" spans="1:7" x14ac:dyDescent="0.25">
      <c r="A75" s="11" t="s">
        <v>80</v>
      </c>
      <c r="B75" s="3">
        <v>4.16</v>
      </c>
      <c r="C75" s="4">
        <v>4.16</v>
      </c>
      <c r="D75" s="4">
        <v>8.32</v>
      </c>
      <c r="E75" s="4">
        <v>12.48</v>
      </c>
      <c r="F75" s="4">
        <v>16.64</v>
      </c>
      <c r="G75" s="5">
        <v>20.8</v>
      </c>
    </row>
    <row r="76" spans="1:7" x14ac:dyDescent="0.25">
      <c r="A76" s="11" t="s">
        <v>81</v>
      </c>
      <c r="B76" s="3">
        <v>1.83</v>
      </c>
      <c r="C76" s="4">
        <v>2.73</v>
      </c>
      <c r="D76" s="4">
        <v>6.33</v>
      </c>
      <c r="E76" s="4">
        <v>9.99</v>
      </c>
      <c r="F76" s="4">
        <v>13.84</v>
      </c>
      <c r="G76" s="5">
        <v>17.52</v>
      </c>
    </row>
    <row r="77" spans="1:7" x14ac:dyDescent="0.25">
      <c r="A77" s="11" t="s">
        <v>82</v>
      </c>
      <c r="B77" s="3">
        <v>2.34</v>
      </c>
      <c r="C77" s="4">
        <v>3.05</v>
      </c>
      <c r="D77" s="4">
        <v>4.6100000000000003</v>
      </c>
      <c r="E77" s="4">
        <v>5.7</v>
      </c>
      <c r="F77" s="4">
        <v>7.2</v>
      </c>
      <c r="G77" s="5">
        <v>9.5500000000000007</v>
      </c>
    </row>
    <row r="78" spans="1:7" x14ac:dyDescent="0.25">
      <c r="A78" s="11" t="s">
        <v>83</v>
      </c>
      <c r="B78" s="3">
        <v>3.04</v>
      </c>
      <c r="C78" s="3">
        <v>3.04</v>
      </c>
      <c r="D78" s="4">
        <v>6.7</v>
      </c>
      <c r="E78" s="4">
        <v>10.050000000000001</v>
      </c>
      <c r="F78" s="4">
        <v>14.08</v>
      </c>
      <c r="G78" s="5">
        <v>18.100000000000001</v>
      </c>
    </row>
    <row r="79" spans="1:7" x14ac:dyDescent="0.25">
      <c r="A79" s="11" t="s">
        <v>84</v>
      </c>
      <c r="B79" s="3">
        <v>2.69</v>
      </c>
      <c r="C79" s="4">
        <v>3.39</v>
      </c>
      <c r="D79" s="4">
        <v>5.07</v>
      </c>
      <c r="E79" s="4">
        <v>6.33</v>
      </c>
      <c r="F79" s="4">
        <v>8.07</v>
      </c>
      <c r="G79" s="5">
        <v>9.5500000000000007</v>
      </c>
    </row>
    <row r="80" spans="1:7" x14ac:dyDescent="0.25">
      <c r="A80" s="11" t="s">
        <v>85</v>
      </c>
      <c r="B80" s="3">
        <v>2.34</v>
      </c>
      <c r="C80" s="4">
        <v>3.05</v>
      </c>
      <c r="D80" s="4">
        <v>4.6100000000000003</v>
      </c>
      <c r="E80" s="4">
        <v>5.7</v>
      </c>
      <c r="F80" s="4">
        <v>7.2</v>
      </c>
      <c r="G80" s="5">
        <v>9.5500000000000007</v>
      </c>
    </row>
    <row r="81" spans="1:7" x14ac:dyDescent="0.25">
      <c r="A81" s="11" t="s">
        <v>86</v>
      </c>
      <c r="B81" s="3">
        <v>0.89</v>
      </c>
      <c r="C81" s="4">
        <v>2.35</v>
      </c>
      <c r="D81" s="4">
        <v>5.12</v>
      </c>
      <c r="E81" s="4">
        <v>8.5</v>
      </c>
      <c r="F81" s="4">
        <v>11.93</v>
      </c>
      <c r="G81" s="5">
        <v>15.33</v>
      </c>
    </row>
    <row r="82" spans="1:7" x14ac:dyDescent="0.25">
      <c r="A82" s="11" t="s">
        <v>87</v>
      </c>
      <c r="B82" s="3">
        <v>2.64</v>
      </c>
      <c r="C82" s="4">
        <v>2.64</v>
      </c>
      <c r="D82" s="4">
        <v>6.26</v>
      </c>
      <c r="E82" s="4">
        <v>9.69</v>
      </c>
      <c r="F82" s="4">
        <v>12.73</v>
      </c>
      <c r="G82" s="5">
        <v>16.28</v>
      </c>
    </row>
    <row r="83" spans="1:7" x14ac:dyDescent="0.25">
      <c r="A83" s="11" t="s">
        <v>88</v>
      </c>
      <c r="B83" s="3">
        <v>3.19</v>
      </c>
      <c r="C83" s="3">
        <v>3.19</v>
      </c>
      <c r="D83" s="4">
        <v>6.43</v>
      </c>
      <c r="E83" s="4">
        <v>9.59</v>
      </c>
      <c r="F83" s="4">
        <v>12.7</v>
      </c>
      <c r="G83" s="5">
        <v>16.13</v>
      </c>
    </row>
    <row r="84" spans="1:7" x14ac:dyDescent="0.25">
      <c r="A84" s="11" t="s">
        <v>89</v>
      </c>
      <c r="B84" s="3">
        <v>3.19</v>
      </c>
      <c r="C84" s="3">
        <v>3.19</v>
      </c>
      <c r="D84" s="4">
        <v>6.43</v>
      </c>
      <c r="E84" s="4">
        <v>9.59</v>
      </c>
      <c r="F84" s="4">
        <v>12.7</v>
      </c>
      <c r="G84" s="5">
        <v>16.13</v>
      </c>
    </row>
    <row r="85" spans="1:7" x14ac:dyDescent="0.25">
      <c r="A85" s="11" t="s">
        <v>90</v>
      </c>
      <c r="B85" s="3">
        <v>3.65</v>
      </c>
      <c r="C85" s="4">
        <v>3.65</v>
      </c>
      <c r="D85" s="4">
        <v>6.42</v>
      </c>
      <c r="E85" s="4">
        <v>8.6300000000000008</v>
      </c>
      <c r="F85" s="4">
        <v>11.26</v>
      </c>
      <c r="G85" s="5">
        <v>14.8</v>
      </c>
    </row>
    <row r="86" spans="1:7" x14ac:dyDescent="0.25">
      <c r="A86" s="11" t="s">
        <v>91</v>
      </c>
      <c r="B86" s="3">
        <v>3.65</v>
      </c>
      <c r="C86" s="4">
        <v>3.65</v>
      </c>
      <c r="D86" s="4">
        <v>6.42</v>
      </c>
      <c r="E86" s="4">
        <v>8.6300000000000008</v>
      </c>
      <c r="F86" s="4">
        <v>11.26</v>
      </c>
      <c r="G86" s="5">
        <v>14.8</v>
      </c>
    </row>
    <row r="87" spans="1:7" x14ac:dyDescent="0.25">
      <c r="A87" s="11" t="s">
        <v>92</v>
      </c>
      <c r="B87" s="3">
        <v>0.88</v>
      </c>
      <c r="C87" s="4">
        <v>1.1200000000000001</v>
      </c>
      <c r="D87" s="4">
        <v>4.37</v>
      </c>
      <c r="E87" s="4">
        <v>8.25</v>
      </c>
      <c r="F87" s="4">
        <v>12.63</v>
      </c>
      <c r="G87" s="5">
        <v>18.809999999999999</v>
      </c>
    </row>
    <row r="88" spans="1:7" x14ac:dyDescent="0.25">
      <c r="A88" s="11" t="s">
        <v>93</v>
      </c>
      <c r="B88" s="3">
        <v>0.89</v>
      </c>
      <c r="C88" s="4">
        <v>2.35</v>
      </c>
      <c r="D88" s="4">
        <v>5.12</v>
      </c>
      <c r="E88" s="4">
        <v>8.5</v>
      </c>
      <c r="F88" s="4">
        <v>11.93</v>
      </c>
      <c r="G88" s="5">
        <v>15.33</v>
      </c>
    </row>
    <row r="89" spans="1:7" x14ac:dyDescent="0.25">
      <c r="A89" s="11" t="s">
        <v>94</v>
      </c>
      <c r="B89" s="3">
        <v>0.89</v>
      </c>
      <c r="C89" s="4">
        <v>2.35</v>
      </c>
      <c r="D89" s="4">
        <v>5.12</v>
      </c>
      <c r="E89" s="4">
        <v>8.5</v>
      </c>
      <c r="F89" s="4">
        <v>11.93</v>
      </c>
      <c r="G89" s="5">
        <v>15.33</v>
      </c>
    </row>
    <row r="90" spans="1:7" x14ac:dyDescent="0.25">
      <c r="A90" s="11" t="s">
        <v>95</v>
      </c>
      <c r="B90" s="3">
        <v>2.8</v>
      </c>
      <c r="C90" s="4">
        <v>2.8</v>
      </c>
      <c r="D90" s="4">
        <v>4.7</v>
      </c>
      <c r="E90" s="4">
        <v>7.6</v>
      </c>
      <c r="F90" s="4">
        <v>11.45</v>
      </c>
      <c r="G90" s="5">
        <v>13.35</v>
      </c>
    </row>
    <row r="91" spans="1:7" x14ac:dyDescent="0.25">
      <c r="A91" s="11" t="s">
        <v>96</v>
      </c>
      <c r="B91" s="3">
        <v>2.65</v>
      </c>
      <c r="C91" s="4">
        <v>2.65</v>
      </c>
      <c r="D91" s="4">
        <v>5.57</v>
      </c>
      <c r="E91" s="4">
        <v>9.06</v>
      </c>
      <c r="F91" s="4">
        <v>11.67</v>
      </c>
      <c r="G91" s="5">
        <v>14.51</v>
      </c>
    </row>
    <row r="92" spans="1:7" x14ac:dyDescent="0.25">
      <c r="A92" s="11" t="s">
        <v>97</v>
      </c>
      <c r="B92" s="3">
        <v>2.65</v>
      </c>
      <c r="C92" s="4">
        <v>2.65</v>
      </c>
      <c r="D92" s="4">
        <v>5.57</v>
      </c>
      <c r="E92" s="4">
        <v>9.06</v>
      </c>
      <c r="F92" s="4">
        <v>11.67</v>
      </c>
      <c r="G92" s="5">
        <v>14.51</v>
      </c>
    </row>
    <row r="93" spans="1:7" x14ac:dyDescent="0.25">
      <c r="A93" s="11" t="s">
        <v>98</v>
      </c>
      <c r="B93" s="3">
        <v>2.34</v>
      </c>
      <c r="C93" s="4">
        <v>3.05</v>
      </c>
      <c r="D93" s="4">
        <v>4.6100000000000003</v>
      </c>
      <c r="E93" s="4">
        <v>5.7</v>
      </c>
      <c r="F93" s="4">
        <v>7.2</v>
      </c>
      <c r="G93" s="5">
        <v>9.5500000000000007</v>
      </c>
    </row>
    <row r="94" spans="1:7" x14ac:dyDescent="0.25">
      <c r="A94" s="11" t="s">
        <v>99</v>
      </c>
      <c r="B94" s="3">
        <v>2.34</v>
      </c>
      <c r="C94" s="4">
        <v>3.05</v>
      </c>
      <c r="D94" s="4">
        <v>4.6100000000000003</v>
      </c>
      <c r="E94" s="4">
        <v>5.7</v>
      </c>
      <c r="F94" s="4">
        <v>7.2</v>
      </c>
      <c r="G94" s="5">
        <v>9.5500000000000007</v>
      </c>
    </row>
    <row r="95" spans="1:7" x14ac:dyDescent="0.25">
      <c r="A95" s="11" t="s">
        <v>100</v>
      </c>
      <c r="B95" s="3">
        <v>2.34</v>
      </c>
      <c r="C95" s="4">
        <v>3.05</v>
      </c>
      <c r="D95" s="4">
        <v>4.6100000000000003</v>
      </c>
      <c r="E95" s="4">
        <v>5.7</v>
      </c>
      <c r="F95" s="4">
        <v>7.2</v>
      </c>
      <c r="G95" s="5">
        <v>9.5500000000000007</v>
      </c>
    </row>
    <row r="96" spans="1:7" x14ac:dyDescent="0.25">
      <c r="A96" s="11" t="s">
        <v>101</v>
      </c>
      <c r="B96" s="3">
        <v>2.34</v>
      </c>
      <c r="C96" s="4">
        <v>3.05</v>
      </c>
      <c r="D96" s="4">
        <v>4.6100000000000003</v>
      </c>
      <c r="E96" s="4">
        <v>5.7</v>
      </c>
      <c r="F96" s="4">
        <v>7.2</v>
      </c>
      <c r="G96" s="5">
        <v>9.5500000000000007</v>
      </c>
    </row>
    <row r="97" spans="1:7" x14ac:dyDescent="0.25">
      <c r="A97" s="11" t="s">
        <v>102</v>
      </c>
      <c r="B97" s="3">
        <v>2.34</v>
      </c>
      <c r="C97" s="4">
        <v>3.05</v>
      </c>
      <c r="D97" s="4">
        <v>4.6100000000000003</v>
      </c>
      <c r="E97" s="4">
        <v>5.7</v>
      </c>
      <c r="F97" s="4">
        <v>7.2</v>
      </c>
      <c r="G97" s="5">
        <v>9.5500000000000007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6BB-9235-4D7C-AB0F-B4F9DA4B25B7}">
  <dimension ref="A1:G97"/>
  <sheetViews>
    <sheetView workbookViewId="0">
      <selection sqref="A1:A97"/>
    </sheetView>
  </sheetViews>
  <sheetFormatPr baseColWidth="10" defaultColWidth="9.140625" defaultRowHeight="15" x14ac:dyDescent="0.25"/>
  <cols>
    <col min="1" max="1" width="9.140625" style="11"/>
    <col min="2" max="2" width="19.5703125" bestFit="1" customWidth="1"/>
    <col min="3" max="3" width="20" bestFit="1" customWidth="1"/>
    <col min="4" max="4" width="20.85546875" bestFit="1" customWidth="1"/>
    <col min="5" max="5" width="21.5703125" bestFit="1" customWidth="1"/>
    <col min="6" max="6" width="21.7109375" bestFit="1" customWidth="1"/>
    <col min="7" max="7" width="17.85546875" bestFit="1" customWidth="1"/>
  </cols>
  <sheetData>
    <row r="1" spans="1:7" x14ac:dyDescent="0.25">
      <c r="A1" s="10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 spans="1:7" x14ac:dyDescent="0.25">
      <c r="A2" s="11" t="s">
        <v>7</v>
      </c>
      <c r="B2" s="6">
        <v>0.53</v>
      </c>
      <c r="C2" s="7">
        <v>1.26</v>
      </c>
      <c r="D2" s="7">
        <v>2.5</v>
      </c>
      <c r="E2" s="7">
        <v>3.78</v>
      </c>
      <c r="F2" s="7">
        <v>5.01</v>
      </c>
      <c r="G2" s="8">
        <v>6.45</v>
      </c>
    </row>
    <row r="3" spans="1:7" x14ac:dyDescent="0.25">
      <c r="A3" s="11" t="s">
        <v>8</v>
      </c>
      <c r="B3" s="6">
        <v>1.55</v>
      </c>
      <c r="C3" s="6">
        <v>1.55</v>
      </c>
      <c r="D3" s="7">
        <v>3.11</v>
      </c>
      <c r="E3" s="7">
        <v>4.66</v>
      </c>
      <c r="F3" s="7">
        <v>6.22</v>
      </c>
      <c r="G3" s="8">
        <v>7.78</v>
      </c>
    </row>
    <row r="4" spans="1:7" x14ac:dyDescent="0.25">
      <c r="A4" s="11" t="s">
        <v>9</v>
      </c>
      <c r="B4" s="6">
        <v>0.64</v>
      </c>
      <c r="C4" s="7">
        <v>1.38</v>
      </c>
      <c r="D4" s="7">
        <v>2.71</v>
      </c>
      <c r="E4" s="7">
        <v>3.93</v>
      </c>
      <c r="F4" s="7">
        <v>4.9800000000000004</v>
      </c>
      <c r="G4" s="8">
        <v>6.51</v>
      </c>
    </row>
    <row r="5" spans="1:7" x14ac:dyDescent="0.25">
      <c r="A5" s="11" t="s">
        <v>10</v>
      </c>
      <c r="B5" s="6">
        <v>2.0499999999999998</v>
      </c>
      <c r="C5" s="6">
        <v>2.0499999999999998</v>
      </c>
      <c r="D5" s="7">
        <v>3.25</v>
      </c>
      <c r="E5" s="7">
        <v>4.38</v>
      </c>
      <c r="F5" s="7">
        <v>5.81</v>
      </c>
      <c r="G5" s="7">
        <v>6.9</v>
      </c>
    </row>
    <row r="6" spans="1:7" x14ac:dyDescent="0.25">
      <c r="A6" s="11" t="s">
        <v>11</v>
      </c>
      <c r="B6" s="6">
        <v>2.0499999999999998</v>
      </c>
      <c r="C6" s="6">
        <v>2.0499999999999998</v>
      </c>
      <c r="D6" s="7">
        <v>3.25</v>
      </c>
      <c r="E6" s="7">
        <v>4.38</v>
      </c>
      <c r="F6" s="7">
        <v>5.81</v>
      </c>
      <c r="G6" s="7">
        <v>6.9</v>
      </c>
    </row>
    <row r="7" spans="1:7" x14ac:dyDescent="0.25">
      <c r="A7" s="11" t="s">
        <v>12</v>
      </c>
      <c r="B7" s="6">
        <v>2.0499999999999998</v>
      </c>
      <c r="C7" s="6">
        <v>2.0499999999999998</v>
      </c>
      <c r="D7" s="7">
        <v>3.25</v>
      </c>
      <c r="E7" s="7">
        <v>4.38</v>
      </c>
      <c r="F7" s="7">
        <v>5.81</v>
      </c>
      <c r="G7" s="7">
        <v>6.9</v>
      </c>
    </row>
    <row r="8" spans="1:7" x14ac:dyDescent="0.25">
      <c r="A8" s="11" t="s">
        <v>13</v>
      </c>
      <c r="B8" s="6">
        <v>0.79</v>
      </c>
      <c r="C8" s="7">
        <v>1.42</v>
      </c>
      <c r="D8" s="7">
        <v>2.89</v>
      </c>
      <c r="E8" s="7">
        <v>4.1900000000000004</v>
      </c>
      <c r="F8" s="7">
        <v>5.7</v>
      </c>
      <c r="G8" s="8">
        <v>6.99</v>
      </c>
    </row>
    <row r="9" spans="1:7" x14ac:dyDescent="0.25">
      <c r="A9" s="11" t="s">
        <v>14</v>
      </c>
      <c r="B9" s="6">
        <v>2</v>
      </c>
      <c r="C9" s="7">
        <v>2</v>
      </c>
      <c r="D9" s="7">
        <v>3.15</v>
      </c>
      <c r="E9" s="7">
        <v>4.5999999999999996</v>
      </c>
      <c r="F9" s="7">
        <v>5.75</v>
      </c>
      <c r="G9" s="8">
        <v>8.25</v>
      </c>
    </row>
    <row r="10" spans="1:7" x14ac:dyDescent="0.25">
      <c r="A10" s="11" t="s">
        <v>15</v>
      </c>
      <c r="B10" s="6">
        <v>2.06</v>
      </c>
      <c r="C10" s="7">
        <v>2.06</v>
      </c>
      <c r="D10" s="7">
        <v>4.38</v>
      </c>
      <c r="E10" s="7">
        <v>5.58</v>
      </c>
      <c r="F10" s="7">
        <v>7.42</v>
      </c>
      <c r="G10" s="8">
        <v>9.4</v>
      </c>
    </row>
    <row r="11" spans="1:7" x14ac:dyDescent="0.25">
      <c r="A11" s="11" t="s">
        <v>16</v>
      </c>
      <c r="B11" s="6">
        <v>2</v>
      </c>
      <c r="C11" s="7">
        <v>2</v>
      </c>
      <c r="D11" s="7">
        <v>3.15</v>
      </c>
      <c r="E11" s="7">
        <v>4.5999999999999996</v>
      </c>
      <c r="F11" s="7">
        <v>5.75</v>
      </c>
      <c r="G11" s="8">
        <v>8.25</v>
      </c>
    </row>
    <row r="12" spans="1:7" x14ac:dyDescent="0.25">
      <c r="A12" s="11" t="s">
        <v>17</v>
      </c>
      <c r="B12" s="6">
        <v>2.06</v>
      </c>
      <c r="C12" s="7">
        <v>2.06</v>
      </c>
      <c r="D12" s="7">
        <v>4.38</v>
      </c>
      <c r="E12" s="7">
        <v>5.58</v>
      </c>
      <c r="F12" s="7">
        <v>7.42</v>
      </c>
      <c r="G12" s="8">
        <v>9.4</v>
      </c>
    </row>
    <row r="13" spans="1:7" x14ac:dyDescent="0.25">
      <c r="A13" s="11" t="s">
        <v>18</v>
      </c>
      <c r="B13" s="6">
        <v>2.06</v>
      </c>
      <c r="C13" s="7">
        <v>2.06</v>
      </c>
      <c r="D13" s="7">
        <v>4.38</v>
      </c>
      <c r="E13" s="7">
        <v>5.58</v>
      </c>
      <c r="F13" s="7">
        <v>7.42</v>
      </c>
      <c r="G13" s="8">
        <v>9.4</v>
      </c>
    </row>
    <row r="14" spans="1:7" x14ac:dyDescent="0.25">
      <c r="A14" s="11" t="s">
        <v>19</v>
      </c>
      <c r="B14" s="6">
        <v>2.0499999999999998</v>
      </c>
      <c r="C14" s="6">
        <v>2.0499999999999998</v>
      </c>
      <c r="D14" s="7">
        <v>3.25</v>
      </c>
      <c r="E14" s="7">
        <v>4.38</v>
      </c>
      <c r="F14" s="7">
        <v>5.81</v>
      </c>
      <c r="G14" s="7">
        <v>6.9</v>
      </c>
    </row>
    <row r="15" spans="1:7" x14ac:dyDescent="0.25">
      <c r="A15" s="11" t="s">
        <v>20</v>
      </c>
      <c r="B15" s="6">
        <v>1.68</v>
      </c>
      <c r="C15" s="7">
        <v>1.68</v>
      </c>
      <c r="D15" s="7">
        <v>3.36</v>
      </c>
      <c r="E15" s="7">
        <v>5.03</v>
      </c>
      <c r="F15" s="7">
        <v>6.67</v>
      </c>
      <c r="G15" s="8">
        <v>8.39</v>
      </c>
    </row>
    <row r="16" spans="1:7" x14ac:dyDescent="0.25">
      <c r="A16" s="11" t="s">
        <v>21</v>
      </c>
      <c r="B16" s="6">
        <v>0.64</v>
      </c>
      <c r="C16" s="7">
        <v>1.38</v>
      </c>
      <c r="D16" s="7">
        <v>2.71</v>
      </c>
      <c r="E16" s="7">
        <v>3.93</v>
      </c>
      <c r="F16" s="7">
        <v>4.9800000000000004</v>
      </c>
      <c r="G16" s="8">
        <v>6.51</v>
      </c>
    </row>
    <row r="17" spans="1:7" x14ac:dyDescent="0.25">
      <c r="A17" s="11" t="s">
        <v>22</v>
      </c>
      <c r="B17" s="6">
        <v>0.74</v>
      </c>
      <c r="C17" s="7">
        <v>1.67</v>
      </c>
      <c r="D17" s="7">
        <v>3.45</v>
      </c>
      <c r="E17" s="7">
        <v>4.9000000000000004</v>
      </c>
      <c r="F17" s="7">
        <v>6.37</v>
      </c>
      <c r="G17" s="8">
        <v>7.88</v>
      </c>
    </row>
    <row r="18" spans="1:7" x14ac:dyDescent="0.25">
      <c r="A18" s="11" t="s">
        <v>23</v>
      </c>
      <c r="B18" s="6">
        <v>0.74</v>
      </c>
      <c r="C18" s="7">
        <v>1.67</v>
      </c>
      <c r="D18" s="7">
        <v>3.45</v>
      </c>
      <c r="E18" s="7">
        <v>4.9000000000000004</v>
      </c>
      <c r="F18" s="7">
        <v>6.37</v>
      </c>
      <c r="G18" s="8">
        <v>7.88</v>
      </c>
    </row>
    <row r="19" spans="1:7" x14ac:dyDescent="0.25">
      <c r="A19" s="11" t="s">
        <v>24</v>
      </c>
      <c r="B19" s="6">
        <v>0.41</v>
      </c>
      <c r="C19" s="7">
        <v>2.59</v>
      </c>
      <c r="D19" s="7">
        <v>4.2300000000000004</v>
      </c>
      <c r="E19" s="7">
        <v>5.2</v>
      </c>
      <c r="F19" s="7">
        <v>6.52</v>
      </c>
      <c r="G19" s="8">
        <v>8.1300000000000008</v>
      </c>
    </row>
    <row r="20" spans="1:7" x14ac:dyDescent="0.25">
      <c r="A20" s="11" t="s">
        <v>25</v>
      </c>
      <c r="B20" s="6">
        <v>0.74</v>
      </c>
      <c r="C20" s="7">
        <v>1.67</v>
      </c>
      <c r="D20" s="7">
        <v>3.45</v>
      </c>
      <c r="E20" s="7">
        <v>4.9000000000000004</v>
      </c>
      <c r="F20" s="7">
        <v>6.37</v>
      </c>
      <c r="G20" s="8">
        <v>7.88</v>
      </c>
    </row>
    <row r="21" spans="1:7" x14ac:dyDescent="0.25">
      <c r="A21" s="11" t="s">
        <v>26</v>
      </c>
      <c r="B21" s="6">
        <v>1.76</v>
      </c>
      <c r="C21" s="7">
        <v>1.76</v>
      </c>
      <c r="D21" s="7">
        <v>3.38</v>
      </c>
      <c r="E21" s="7">
        <v>4.7</v>
      </c>
      <c r="F21" s="7">
        <v>6.6</v>
      </c>
      <c r="G21" s="8">
        <v>7.77</v>
      </c>
    </row>
    <row r="22" spans="1:7" x14ac:dyDescent="0.25">
      <c r="A22" s="11" t="s">
        <v>27</v>
      </c>
      <c r="B22" s="6">
        <v>0.47</v>
      </c>
      <c r="C22" s="7">
        <v>1.51</v>
      </c>
      <c r="D22" s="7">
        <v>2.08</v>
      </c>
      <c r="E22" s="7">
        <v>3.11</v>
      </c>
      <c r="F22" s="7">
        <v>4.3600000000000003</v>
      </c>
      <c r="G22" s="8">
        <v>5.21</v>
      </c>
    </row>
    <row r="23" spans="1:7" x14ac:dyDescent="0.25">
      <c r="A23" s="11" t="s">
        <v>28</v>
      </c>
      <c r="B23" s="6">
        <v>0.74</v>
      </c>
      <c r="C23" s="7">
        <v>1.67</v>
      </c>
      <c r="D23" s="7">
        <v>3.45</v>
      </c>
      <c r="E23" s="7">
        <v>4.9000000000000004</v>
      </c>
      <c r="F23" s="7">
        <v>6.37</v>
      </c>
      <c r="G23" s="8">
        <v>7.88</v>
      </c>
    </row>
    <row r="24" spans="1:7" x14ac:dyDescent="0.25">
      <c r="A24" s="11" t="s">
        <v>29</v>
      </c>
      <c r="B24" s="6">
        <v>0.74</v>
      </c>
      <c r="C24" s="7">
        <v>1.67</v>
      </c>
      <c r="D24" s="7">
        <v>3.45</v>
      </c>
      <c r="E24" s="7">
        <v>4.9000000000000004</v>
      </c>
      <c r="F24" s="7">
        <v>6.37</v>
      </c>
      <c r="G24" s="8">
        <v>7.88</v>
      </c>
    </row>
    <row r="25" spans="1:7" x14ac:dyDescent="0.25">
      <c r="A25" s="11" t="s">
        <v>30</v>
      </c>
      <c r="B25" s="6">
        <v>1.76</v>
      </c>
      <c r="C25" s="7">
        <v>1.76</v>
      </c>
      <c r="D25" s="7">
        <v>3.38</v>
      </c>
      <c r="E25" s="7">
        <v>4.7</v>
      </c>
      <c r="F25" s="7">
        <v>6.6</v>
      </c>
      <c r="G25" s="8">
        <v>7.77</v>
      </c>
    </row>
    <row r="26" spans="1:7" x14ac:dyDescent="0.25">
      <c r="A26" s="11" t="s">
        <v>31</v>
      </c>
      <c r="B26" s="6">
        <v>0.79</v>
      </c>
      <c r="C26" s="7">
        <v>1.42</v>
      </c>
      <c r="D26" s="7">
        <v>2.89</v>
      </c>
      <c r="E26" s="7">
        <v>4.1900000000000004</v>
      </c>
      <c r="F26" s="7">
        <v>5.7</v>
      </c>
      <c r="G26" s="8">
        <v>6.99</v>
      </c>
    </row>
    <row r="27" spans="1:7" x14ac:dyDescent="0.25">
      <c r="A27" s="11" t="s">
        <v>32</v>
      </c>
      <c r="B27" s="6">
        <v>1.68</v>
      </c>
      <c r="C27" s="7">
        <v>1.68</v>
      </c>
      <c r="D27" s="7">
        <v>3.36</v>
      </c>
      <c r="E27" s="7">
        <v>5.03</v>
      </c>
      <c r="F27" s="7">
        <v>6.67</v>
      </c>
      <c r="G27" s="8">
        <v>8.39</v>
      </c>
    </row>
    <row r="28" spans="1:7" x14ac:dyDescent="0.25">
      <c r="A28" s="11" t="s">
        <v>33</v>
      </c>
      <c r="B28" s="6">
        <v>0.41</v>
      </c>
      <c r="C28" s="7">
        <v>2.59</v>
      </c>
      <c r="D28" s="7">
        <v>4.2300000000000004</v>
      </c>
      <c r="E28" s="7">
        <v>5.2</v>
      </c>
      <c r="F28" s="7">
        <v>6.52</v>
      </c>
      <c r="G28" s="8">
        <v>8.1300000000000008</v>
      </c>
    </row>
    <row r="29" spans="1:7" x14ac:dyDescent="0.25">
      <c r="A29" s="11" t="s">
        <v>34</v>
      </c>
      <c r="B29" s="6">
        <v>0.47</v>
      </c>
      <c r="C29" s="7">
        <v>1.51</v>
      </c>
      <c r="D29" s="7">
        <v>2.08</v>
      </c>
      <c r="E29" s="7">
        <v>3.11</v>
      </c>
      <c r="F29" s="7">
        <v>4.3600000000000003</v>
      </c>
      <c r="G29" s="8">
        <v>5.21</v>
      </c>
    </row>
    <row r="30" spans="1:7" x14ac:dyDescent="0.25">
      <c r="A30" s="11" t="s">
        <v>35</v>
      </c>
      <c r="B30" s="6">
        <v>1.56</v>
      </c>
      <c r="C30" s="7">
        <v>1.56</v>
      </c>
      <c r="D30" s="7">
        <v>2.9</v>
      </c>
      <c r="E30" s="7">
        <v>4.24</v>
      </c>
      <c r="F30" s="7">
        <v>5.69</v>
      </c>
      <c r="G30" s="8">
        <v>8.5500000000000007</v>
      </c>
    </row>
    <row r="31" spans="1:7" x14ac:dyDescent="0.25">
      <c r="A31" s="11" t="s">
        <v>36</v>
      </c>
      <c r="B31" s="6">
        <v>1.56</v>
      </c>
      <c r="C31" s="7">
        <v>1.56</v>
      </c>
      <c r="D31" s="7">
        <v>2.9</v>
      </c>
      <c r="E31" s="7">
        <v>4.24</v>
      </c>
      <c r="F31" s="7">
        <v>5.69</v>
      </c>
      <c r="G31" s="8">
        <v>8.5500000000000007</v>
      </c>
    </row>
    <row r="32" spans="1:7" x14ac:dyDescent="0.25">
      <c r="A32" s="11" t="s">
        <v>37</v>
      </c>
      <c r="B32" s="6">
        <v>2.06</v>
      </c>
      <c r="C32" s="7">
        <v>2.06</v>
      </c>
      <c r="D32" s="7">
        <v>4.38</v>
      </c>
      <c r="E32" s="7">
        <v>5.58</v>
      </c>
      <c r="F32" s="7">
        <v>7.42</v>
      </c>
      <c r="G32" s="8">
        <v>9.4</v>
      </c>
    </row>
    <row r="33" spans="1:7" x14ac:dyDescent="0.25">
      <c r="A33" s="11" t="s">
        <v>38</v>
      </c>
      <c r="B33" s="6">
        <v>2.06</v>
      </c>
      <c r="C33" s="7">
        <v>2.06</v>
      </c>
      <c r="D33" s="7">
        <v>4.38</v>
      </c>
      <c r="E33" s="7">
        <v>5.58</v>
      </c>
      <c r="F33" s="7">
        <v>7.42</v>
      </c>
      <c r="G33" s="8">
        <v>9.4</v>
      </c>
    </row>
    <row r="34" spans="1:7" x14ac:dyDescent="0.25">
      <c r="A34" s="11" t="s">
        <v>39</v>
      </c>
      <c r="B34" s="6">
        <v>2.06</v>
      </c>
      <c r="C34" s="7">
        <v>2.06</v>
      </c>
      <c r="D34" s="7">
        <v>4.38</v>
      </c>
      <c r="E34" s="7">
        <v>5.58</v>
      </c>
      <c r="F34" s="7">
        <v>7.42</v>
      </c>
      <c r="G34" s="8">
        <v>9.4</v>
      </c>
    </row>
    <row r="35" spans="1:7" x14ac:dyDescent="0.25">
      <c r="A35" s="11" t="s">
        <v>40</v>
      </c>
      <c r="B35" s="6">
        <v>0.74</v>
      </c>
      <c r="C35" s="7">
        <v>1.67</v>
      </c>
      <c r="D35" s="7">
        <v>3.45</v>
      </c>
      <c r="E35" s="7">
        <v>4.9000000000000004</v>
      </c>
      <c r="F35" s="7">
        <v>6.37</v>
      </c>
      <c r="G35" s="8">
        <v>7.88</v>
      </c>
    </row>
    <row r="36" spans="1:7" x14ac:dyDescent="0.25">
      <c r="A36" s="11" t="s">
        <v>41</v>
      </c>
      <c r="B36" s="6">
        <v>2.06</v>
      </c>
      <c r="C36" s="7">
        <v>2.06</v>
      </c>
      <c r="D36" s="7">
        <v>4.38</v>
      </c>
      <c r="E36" s="7">
        <v>5.58</v>
      </c>
      <c r="F36" s="7">
        <v>7.42</v>
      </c>
      <c r="G36" s="8">
        <v>9.4</v>
      </c>
    </row>
    <row r="37" spans="1:7" x14ac:dyDescent="0.25">
      <c r="A37" s="11" t="s">
        <v>42</v>
      </c>
      <c r="B37" s="6">
        <v>0.47</v>
      </c>
      <c r="C37" s="7">
        <v>1.51</v>
      </c>
      <c r="D37" s="7">
        <v>2.08</v>
      </c>
      <c r="E37" s="7">
        <v>3.11</v>
      </c>
      <c r="F37" s="7">
        <v>4.3600000000000003</v>
      </c>
      <c r="G37" s="8">
        <v>5.21</v>
      </c>
    </row>
    <row r="38" spans="1:7" x14ac:dyDescent="0.25">
      <c r="A38" s="11" t="s">
        <v>43</v>
      </c>
      <c r="B38" s="6">
        <v>0.41</v>
      </c>
      <c r="C38" s="7">
        <v>2.59</v>
      </c>
      <c r="D38" s="7">
        <v>4.2300000000000004</v>
      </c>
      <c r="E38" s="7">
        <v>5.2</v>
      </c>
      <c r="F38" s="7">
        <v>6.52</v>
      </c>
      <c r="G38" s="8">
        <v>8.1300000000000008</v>
      </c>
    </row>
    <row r="39" spans="1:7" x14ac:dyDescent="0.25">
      <c r="A39" s="11" t="s">
        <v>44</v>
      </c>
      <c r="B39" s="6">
        <v>0.41</v>
      </c>
      <c r="C39" s="7">
        <v>2.59</v>
      </c>
      <c r="D39" s="7">
        <v>4.2300000000000004</v>
      </c>
      <c r="E39" s="7">
        <v>5.2</v>
      </c>
      <c r="F39" s="7">
        <v>6.52</v>
      </c>
      <c r="G39" s="8">
        <v>8.1300000000000008</v>
      </c>
    </row>
    <row r="40" spans="1:7" x14ac:dyDescent="0.25">
      <c r="A40" s="11" t="s">
        <v>45</v>
      </c>
      <c r="B40" s="6">
        <v>0.68</v>
      </c>
      <c r="C40" s="7">
        <v>1.97</v>
      </c>
      <c r="D40" s="7">
        <v>3.62</v>
      </c>
      <c r="E40" s="7">
        <v>5.6</v>
      </c>
      <c r="F40" s="7">
        <v>7.58</v>
      </c>
      <c r="G40" s="8">
        <v>9.4499999999999993</v>
      </c>
    </row>
    <row r="41" spans="1:7" x14ac:dyDescent="0.25">
      <c r="A41" s="11" t="s">
        <v>46</v>
      </c>
      <c r="B41" s="6">
        <v>1.76</v>
      </c>
      <c r="C41" s="7">
        <v>1.76</v>
      </c>
      <c r="D41" s="7">
        <v>3.38</v>
      </c>
      <c r="E41" s="7">
        <v>4.7</v>
      </c>
      <c r="F41" s="7">
        <v>6.6</v>
      </c>
      <c r="G41" s="8">
        <v>7.77</v>
      </c>
    </row>
    <row r="42" spans="1:7" x14ac:dyDescent="0.25">
      <c r="A42" s="11" t="s">
        <v>47</v>
      </c>
      <c r="B42" s="6">
        <v>0.74</v>
      </c>
      <c r="C42" s="7">
        <v>1.67</v>
      </c>
      <c r="D42" s="7">
        <v>3.45</v>
      </c>
      <c r="E42" s="7">
        <v>4.9000000000000004</v>
      </c>
      <c r="F42" s="7">
        <v>6.37</v>
      </c>
      <c r="G42" s="8">
        <v>7.88</v>
      </c>
    </row>
    <row r="43" spans="1:7" x14ac:dyDescent="0.25">
      <c r="A43" s="11" t="s">
        <v>48</v>
      </c>
      <c r="B43" s="6">
        <v>0.41</v>
      </c>
      <c r="C43" s="7">
        <v>2.59</v>
      </c>
      <c r="D43" s="7">
        <v>4.2300000000000004</v>
      </c>
      <c r="E43" s="7">
        <v>5.2</v>
      </c>
      <c r="F43" s="7">
        <v>6.52</v>
      </c>
      <c r="G43" s="8">
        <v>8.1300000000000008</v>
      </c>
    </row>
    <row r="44" spans="1:7" x14ac:dyDescent="0.25">
      <c r="A44" s="11" t="s">
        <v>49</v>
      </c>
      <c r="B44" s="6">
        <v>1.5</v>
      </c>
      <c r="C44" s="7">
        <v>1.5</v>
      </c>
      <c r="D44" s="7">
        <v>3.06</v>
      </c>
      <c r="E44" s="7">
        <v>4.5599999999999996</v>
      </c>
      <c r="F44" s="7">
        <v>6.17</v>
      </c>
      <c r="G44" s="8">
        <v>7.95</v>
      </c>
    </row>
    <row r="45" spans="1:7" x14ac:dyDescent="0.25">
      <c r="A45" s="11" t="s">
        <v>50</v>
      </c>
      <c r="B45" s="6">
        <v>0.64</v>
      </c>
      <c r="C45" s="7">
        <v>1.38</v>
      </c>
      <c r="D45" s="7">
        <v>2.71</v>
      </c>
      <c r="E45" s="7">
        <v>3.93</v>
      </c>
      <c r="F45" s="7">
        <v>4.9800000000000004</v>
      </c>
      <c r="G45" s="8">
        <v>6.51</v>
      </c>
    </row>
    <row r="46" spans="1:7" x14ac:dyDescent="0.25">
      <c r="A46" s="11" t="s">
        <v>51</v>
      </c>
      <c r="B46" s="6">
        <v>0.48</v>
      </c>
      <c r="C46" s="7">
        <v>0.67</v>
      </c>
      <c r="D46" s="7">
        <v>1.9</v>
      </c>
      <c r="E46" s="7">
        <v>4.08</v>
      </c>
      <c r="F46" s="7">
        <v>5.12</v>
      </c>
      <c r="G46" s="8">
        <v>6.11</v>
      </c>
    </row>
    <row r="47" spans="1:7" x14ac:dyDescent="0.25">
      <c r="A47" s="11" t="s">
        <v>52</v>
      </c>
      <c r="B47" s="6">
        <v>0.41</v>
      </c>
      <c r="C47" s="7">
        <v>2.59</v>
      </c>
      <c r="D47" s="7">
        <v>4.2300000000000004</v>
      </c>
      <c r="E47" s="7">
        <v>5.2</v>
      </c>
      <c r="F47" s="7">
        <v>6.52</v>
      </c>
      <c r="G47" s="8">
        <v>8.1300000000000008</v>
      </c>
    </row>
    <row r="48" spans="1:7" x14ac:dyDescent="0.25">
      <c r="A48" s="11" t="s">
        <v>53</v>
      </c>
      <c r="B48" s="6">
        <v>2.06</v>
      </c>
      <c r="C48" s="7">
        <v>2.06</v>
      </c>
      <c r="D48" s="7">
        <v>4.38</v>
      </c>
      <c r="E48" s="7">
        <v>5.58</v>
      </c>
      <c r="F48" s="7">
        <v>7.42</v>
      </c>
      <c r="G48" s="8">
        <v>9.4</v>
      </c>
    </row>
    <row r="49" spans="1:7" x14ac:dyDescent="0.25">
      <c r="A49" s="11" t="s">
        <v>54</v>
      </c>
      <c r="B49" s="6">
        <v>0.74</v>
      </c>
      <c r="C49" s="7">
        <v>1.67</v>
      </c>
      <c r="D49" s="7">
        <v>3.45</v>
      </c>
      <c r="E49" s="7">
        <v>4.9000000000000004</v>
      </c>
      <c r="F49" s="7">
        <v>6.37</v>
      </c>
      <c r="G49" s="8">
        <v>7.88</v>
      </c>
    </row>
    <row r="50" spans="1:7" x14ac:dyDescent="0.25">
      <c r="A50" s="11" t="s">
        <v>55</v>
      </c>
      <c r="B50" s="6">
        <v>2.06</v>
      </c>
      <c r="C50" s="7">
        <v>2.06</v>
      </c>
      <c r="D50" s="7">
        <v>4.38</v>
      </c>
      <c r="E50" s="7">
        <v>5.58</v>
      </c>
      <c r="F50" s="7">
        <v>7.42</v>
      </c>
      <c r="G50" s="8">
        <v>9.4</v>
      </c>
    </row>
    <row r="51" spans="1:7" x14ac:dyDescent="0.25">
      <c r="A51" s="11" t="s">
        <v>56</v>
      </c>
      <c r="B51" s="6">
        <v>0.48</v>
      </c>
      <c r="C51" s="7">
        <v>0.67</v>
      </c>
      <c r="D51" s="7">
        <v>1.9</v>
      </c>
      <c r="E51" s="7">
        <v>4.08</v>
      </c>
      <c r="F51" s="7">
        <v>5.12</v>
      </c>
      <c r="G51" s="8">
        <v>6.11</v>
      </c>
    </row>
    <row r="52" spans="1:7" x14ac:dyDescent="0.25">
      <c r="A52" s="11" t="s">
        <v>57</v>
      </c>
      <c r="B52" s="6">
        <v>1.68</v>
      </c>
      <c r="C52" s="7">
        <v>1.68</v>
      </c>
      <c r="D52" s="7">
        <v>3.36</v>
      </c>
      <c r="E52" s="7">
        <v>5.03</v>
      </c>
      <c r="F52" s="7">
        <v>6.67</v>
      </c>
      <c r="G52" s="8">
        <v>8.39</v>
      </c>
    </row>
    <row r="53" spans="1:7" x14ac:dyDescent="0.25">
      <c r="A53" s="11" t="s">
        <v>58</v>
      </c>
      <c r="B53" s="6">
        <v>2</v>
      </c>
      <c r="C53" s="7">
        <v>2</v>
      </c>
      <c r="D53" s="7">
        <v>3.15</v>
      </c>
      <c r="E53" s="7">
        <v>4.5999999999999996</v>
      </c>
      <c r="F53" s="7">
        <v>5.75</v>
      </c>
      <c r="G53" s="8">
        <v>8.25</v>
      </c>
    </row>
    <row r="54" spans="1:7" x14ac:dyDescent="0.25">
      <c r="A54" s="11" t="s">
        <v>59</v>
      </c>
      <c r="B54" s="6">
        <v>2</v>
      </c>
      <c r="C54" s="7">
        <v>2</v>
      </c>
      <c r="D54" s="7">
        <v>3.15</v>
      </c>
      <c r="E54" s="7">
        <v>4.5999999999999996</v>
      </c>
      <c r="F54" s="7">
        <v>5.75</v>
      </c>
      <c r="G54" s="8">
        <v>8.25</v>
      </c>
    </row>
    <row r="55" spans="1:7" x14ac:dyDescent="0.25">
      <c r="A55" s="11" t="s">
        <v>60</v>
      </c>
      <c r="B55" s="6">
        <v>0.48</v>
      </c>
      <c r="C55" s="7">
        <v>0.67</v>
      </c>
      <c r="D55" s="7">
        <v>1.9</v>
      </c>
      <c r="E55" s="7">
        <v>4.08</v>
      </c>
      <c r="F55" s="7">
        <v>5.12</v>
      </c>
      <c r="G55" s="8">
        <v>6.11</v>
      </c>
    </row>
    <row r="56" spans="1:7" x14ac:dyDescent="0.25">
      <c r="A56" s="11" t="s">
        <v>61</v>
      </c>
      <c r="B56" s="6">
        <v>2</v>
      </c>
      <c r="C56" s="7">
        <v>2</v>
      </c>
      <c r="D56" s="7">
        <v>3.15</v>
      </c>
      <c r="E56" s="7">
        <v>4.5999999999999996</v>
      </c>
      <c r="F56" s="7">
        <v>5.75</v>
      </c>
      <c r="G56" s="8">
        <v>7.4</v>
      </c>
    </row>
    <row r="57" spans="1:7" x14ac:dyDescent="0.25">
      <c r="A57" s="11" t="s">
        <v>62</v>
      </c>
      <c r="B57" s="6">
        <v>2</v>
      </c>
      <c r="C57" s="7">
        <v>2</v>
      </c>
      <c r="D57" s="7">
        <v>3.15</v>
      </c>
      <c r="E57" s="7">
        <v>4.5999999999999996</v>
      </c>
      <c r="F57" s="7">
        <v>5.75</v>
      </c>
      <c r="G57" s="8">
        <v>7.4</v>
      </c>
    </row>
    <row r="58" spans="1:7" x14ac:dyDescent="0.25">
      <c r="A58" s="11" t="s">
        <v>63</v>
      </c>
      <c r="B58" s="6">
        <v>0.47</v>
      </c>
      <c r="C58" s="7">
        <v>1.51</v>
      </c>
      <c r="D58" s="7">
        <v>2.08</v>
      </c>
      <c r="E58" s="7">
        <v>3.11</v>
      </c>
      <c r="F58" s="7">
        <v>4.3600000000000003</v>
      </c>
      <c r="G58" s="8">
        <v>5.21</v>
      </c>
    </row>
    <row r="59" spans="1:7" x14ac:dyDescent="0.25">
      <c r="A59" s="11" t="s">
        <v>64</v>
      </c>
      <c r="B59" s="6">
        <v>2</v>
      </c>
      <c r="C59" s="7">
        <v>2</v>
      </c>
      <c r="D59" s="7">
        <v>3.15</v>
      </c>
      <c r="E59" s="7">
        <v>4.5999999999999996</v>
      </c>
      <c r="F59" s="7">
        <v>5.75</v>
      </c>
      <c r="G59" s="8">
        <v>7.4</v>
      </c>
    </row>
    <row r="60" spans="1:7" x14ac:dyDescent="0.25">
      <c r="A60" s="11" t="s">
        <v>65</v>
      </c>
      <c r="B60" s="6">
        <v>1.76</v>
      </c>
      <c r="C60" s="7">
        <v>1.76</v>
      </c>
      <c r="D60" s="7">
        <v>3.38</v>
      </c>
      <c r="E60" s="7">
        <v>4.7</v>
      </c>
      <c r="F60" s="7">
        <v>6.6</v>
      </c>
      <c r="G60" s="8">
        <v>7.77</v>
      </c>
    </row>
    <row r="61" spans="1:7" x14ac:dyDescent="0.25">
      <c r="A61" s="11" t="s">
        <v>66</v>
      </c>
      <c r="B61" s="6">
        <v>1.55</v>
      </c>
      <c r="C61" s="6">
        <v>1.55</v>
      </c>
      <c r="D61" s="7">
        <v>3.11</v>
      </c>
      <c r="E61" s="7">
        <v>4.66</v>
      </c>
      <c r="F61" s="7">
        <v>6.22</v>
      </c>
      <c r="G61" s="8">
        <v>7.78</v>
      </c>
    </row>
    <row r="62" spans="1:7" x14ac:dyDescent="0.25">
      <c r="A62" s="11" t="s">
        <v>67</v>
      </c>
      <c r="B62" s="6">
        <v>1.55</v>
      </c>
      <c r="C62" s="6">
        <v>1.55</v>
      </c>
      <c r="D62" s="7">
        <v>3.11</v>
      </c>
      <c r="E62" s="7">
        <v>4.66</v>
      </c>
      <c r="F62" s="7">
        <v>6.22</v>
      </c>
      <c r="G62" s="8">
        <v>7.78</v>
      </c>
    </row>
    <row r="63" spans="1:7" x14ac:dyDescent="0.25">
      <c r="A63" s="11" t="s">
        <v>68</v>
      </c>
      <c r="B63" s="6">
        <v>1.68</v>
      </c>
      <c r="C63" s="7">
        <v>1.68</v>
      </c>
      <c r="D63" s="7">
        <v>3.36</v>
      </c>
      <c r="E63" s="7">
        <v>5.03</v>
      </c>
      <c r="F63" s="7">
        <v>6.67</v>
      </c>
      <c r="G63" s="8">
        <v>8.39</v>
      </c>
    </row>
    <row r="64" spans="1:7" x14ac:dyDescent="0.25">
      <c r="A64" s="11" t="s">
        <v>69</v>
      </c>
      <c r="B64" s="6">
        <v>1.55</v>
      </c>
      <c r="C64" s="6">
        <v>1.55</v>
      </c>
      <c r="D64" s="7">
        <v>3.11</v>
      </c>
      <c r="E64" s="7">
        <v>4.66</v>
      </c>
      <c r="F64" s="7">
        <v>6.22</v>
      </c>
      <c r="G64" s="8">
        <v>7.78</v>
      </c>
    </row>
    <row r="65" spans="1:7" x14ac:dyDescent="0.25">
      <c r="A65" s="11" t="s">
        <v>70</v>
      </c>
      <c r="B65" s="6">
        <v>0.64</v>
      </c>
      <c r="C65" s="7">
        <v>1.38</v>
      </c>
      <c r="D65" s="7">
        <v>2.71</v>
      </c>
      <c r="E65" s="7">
        <v>3.93</v>
      </c>
      <c r="F65" s="7">
        <v>4.9800000000000004</v>
      </c>
      <c r="G65" s="8">
        <v>6.51</v>
      </c>
    </row>
    <row r="66" spans="1:7" x14ac:dyDescent="0.25">
      <c r="A66" s="11" t="s">
        <v>71</v>
      </c>
      <c r="B66" s="6">
        <v>0.74</v>
      </c>
      <c r="C66" s="7">
        <v>1.67</v>
      </c>
      <c r="D66" s="7">
        <v>3.45</v>
      </c>
      <c r="E66" s="7">
        <v>4.9000000000000004</v>
      </c>
      <c r="F66" s="7">
        <v>6.37</v>
      </c>
      <c r="G66" s="8">
        <v>7.88</v>
      </c>
    </row>
    <row r="67" spans="1:7" x14ac:dyDescent="0.25">
      <c r="A67" s="11" t="s">
        <v>72</v>
      </c>
      <c r="B67" s="6">
        <v>2.06</v>
      </c>
      <c r="C67" s="7">
        <v>2.06</v>
      </c>
      <c r="D67" s="7">
        <v>4.38</v>
      </c>
      <c r="E67" s="7">
        <v>5.58</v>
      </c>
      <c r="F67" s="7">
        <v>7.42</v>
      </c>
      <c r="G67" s="8">
        <v>9.4</v>
      </c>
    </row>
    <row r="68" spans="1:7" x14ac:dyDescent="0.25">
      <c r="A68" s="11" t="s">
        <v>73</v>
      </c>
      <c r="B68" s="6">
        <v>2.06</v>
      </c>
      <c r="C68" s="7">
        <v>2.06</v>
      </c>
      <c r="D68" s="7">
        <v>4.38</v>
      </c>
      <c r="E68" s="7">
        <v>5.58</v>
      </c>
      <c r="F68" s="7">
        <v>7.42</v>
      </c>
      <c r="G68" s="8">
        <v>9.4</v>
      </c>
    </row>
    <row r="69" spans="1:7" x14ac:dyDescent="0.25">
      <c r="A69" s="11" t="s">
        <v>74</v>
      </c>
      <c r="B69" s="6">
        <v>2</v>
      </c>
      <c r="C69" s="7">
        <v>2</v>
      </c>
      <c r="D69" s="7">
        <v>3.15</v>
      </c>
      <c r="E69" s="7">
        <v>4.5999999999999996</v>
      </c>
      <c r="F69" s="7">
        <v>5.75</v>
      </c>
      <c r="G69" s="8">
        <v>7</v>
      </c>
    </row>
    <row r="70" spans="1:7" x14ac:dyDescent="0.25">
      <c r="A70" s="11" t="s">
        <v>75</v>
      </c>
      <c r="B70" s="6">
        <v>2</v>
      </c>
      <c r="C70" s="7">
        <v>2</v>
      </c>
      <c r="D70" s="7">
        <v>3.15</v>
      </c>
      <c r="E70" s="7">
        <v>4.5999999999999996</v>
      </c>
      <c r="F70" s="7">
        <v>5.75</v>
      </c>
      <c r="G70" s="8">
        <v>7</v>
      </c>
    </row>
    <row r="71" spans="1:7" x14ac:dyDescent="0.25">
      <c r="A71" s="11" t="s">
        <v>76</v>
      </c>
      <c r="B71" s="7">
        <v>1.57</v>
      </c>
      <c r="C71" s="7">
        <v>1.57</v>
      </c>
      <c r="D71" s="7">
        <v>2.91</v>
      </c>
      <c r="E71" s="7">
        <v>4.1900000000000004</v>
      </c>
      <c r="F71" s="7">
        <v>5.47</v>
      </c>
      <c r="G71" s="8">
        <v>6.67</v>
      </c>
    </row>
    <row r="72" spans="1:7" x14ac:dyDescent="0.25">
      <c r="A72" s="11" t="s">
        <v>77</v>
      </c>
      <c r="B72" s="6">
        <v>1.76</v>
      </c>
      <c r="C72" s="7">
        <v>1.76</v>
      </c>
      <c r="D72" s="7">
        <v>3.38</v>
      </c>
      <c r="E72" s="7">
        <v>4.7</v>
      </c>
      <c r="F72" s="7">
        <v>6.6</v>
      </c>
      <c r="G72" s="8">
        <v>7.77</v>
      </c>
    </row>
    <row r="73" spans="1:7" x14ac:dyDescent="0.25">
      <c r="A73" s="11" t="s">
        <v>78</v>
      </c>
      <c r="B73" s="6">
        <v>1.76</v>
      </c>
      <c r="C73" s="7">
        <v>1.76</v>
      </c>
      <c r="D73" s="7">
        <v>3.38</v>
      </c>
      <c r="E73" s="7">
        <v>4.7</v>
      </c>
      <c r="F73" s="7">
        <v>6.6</v>
      </c>
      <c r="G73" s="8">
        <v>7.77</v>
      </c>
    </row>
    <row r="74" spans="1:7" x14ac:dyDescent="0.25">
      <c r="A74" s="11" t="s">
        <v>79</v>
      </c>
      <c r="B74" s="6">
        <v>0.48</v>
      </c>
      <c r="C74" s="7">
        <v>0.67</v>
      </c>
      <c r="D74" s="7">
        <v>1.9</v>
      </c>
      <c r="E74" s="7">
        <v>4.08</v>
      </c>
      <c r="F74" s="7">
        <v>5.12</v>
      </c>
      <c r="G74" s="8">
        <v>6.11</v>
      </c>
    </row>
    <row r="75" spans="1:7" x14ac:dyDescent="0.25">
      <c r="A75" s="11" t="s">
        <v>80</v>
      </c>
      <c r="B75" s="6">
        <v>1.9</v>
      </c>
      <c r="C75" s="7">
        <v>1.9</v>
      </c>
      <c r="D75" s="7">
        <v>3.7</v>
      </c>
      <c r="E75" s="7">
        <v>5.7</v>
      </c>
      <c r="F75" s="7">
        <v>7.4</v>
      </c>
      <c r="G75" s="8">
        <v>9.3000000000000007</v>
      </c>
    </row>
    <row r="76" spans="1:7" x14ac:dyDescent="0.25">
      <c r="A76" s="11" t="s">
        <v>81</v>
      </c>
      <c r="B76" s="6">
        <v>0.91</v>
      </c>
      <c r="C76" s="7">
        <v>1.5</v>
      </c>
      <c r="D76" s="7">
        <v>2.98</v>
      </c>
      <c r="E76" s="7">
        <v>4.38</v>
      </c>
      <c r="F76" s="7">
        <v>5.69</v>
      </c>
      <c r="G76" s="8">
        <v>7.28</v>
      </c>
    </row>
    <row r="77" spans="1:7" x14ac:dyDescent="0.25">
      <c r="A77" s="11" t="s">
        <v>82</v>
      </c>
      <c r="B77" s="6">
        <v>2.2599999999999998</v>
      </c>
      <c r="C77" s="7">
        <v>3.12</v>
      </c>
      <c r="D77" s="7">
        <v>4.63</v>
      </c>
      <c r="E77" s="7">
        <v>5.36</v>
      </c>
      <c r="F77" s="7">
        <v>6.71</v>
      </c>
      <c r="G77" s="8">
        <v>8.23</v>
      </c>
    </row>
    <row r="78" spans="1:7" x14ac:dyDescent="0.25">
      <c r="A78" s="11" t="s">
        <v>83</v>
      </c>
      <c r="B78" s="6">
        <v>1.68</v>
      </c>
      <c r="C78" s="7">
        <v>1.68</v>
      </c>
      <c r="D78" s="7">
        <v>3.36</v>
      </c>
      <c r="E78" s="7">
        <v>5.03</v>
      </c>
      <c r="F78" s="7">
        <v>6.67</v>
      </c>
      <c r="G78" s="8">
        <v>8.39</v>
      </c>
    </row>
    <row r="79" spans="1:7" x14ac:dyDescent="0.25">
      <c r="A79" s="11" t="s">
        <v>84</v>
      </c>
      <c r="B79" s="6">
        <v>2.54</v>
      </c>
      <c r="C79" s="7">
        <v>3.44</v>
      </c>
      <c r="D79" s="7">
        <v>5.07</v>
      </c>
      <c r="E79" s="7">
        <v>5.78</v>
      </c>
      <c r="F79" s="7">
        <v>7.29</v>
      </c>
      <c r="G79" s="8">
        <v>8.23</v>
      </c>
    </row>
    <row r="80" spans="1:7" x14ac:dyDescent="0.25">
      <c r="A80" s="11" t="s">
        <v>85</v>
      </c>
      <c r="B80" s="6">
        <v>2.2599999999999998</v>
      </c>
      <c r="C80" s="7">
        <v>3.12</v>
      </c>
      <c r="D80" s="7">
        <v>4.63</v>
      </c>
      <c r="E80" s="7">
        <v>5.36</v>
      </c>
      <c r="F80" s="7">
        <v>6.71</v>
      </c>
      <c r="G80" s="8">
        <v>8.23</v>
      </c>
    </row>
    <row r="81" spans="1:7" x14ac:dyDescent="0.25">
      <c r="A81" s="11" t="s">
        <v>86</v>
      </c>
      <c r="B81" s="6">
        <v>0.74</v>
      </c>
      <c r="C81" s="7">
        <v>1.67</v>
      </c>
      <c r="D81" s="7">
        <v>3.45</v>
      </c>
      <c r="E81" s="7">
        <v>4.9000000000000004</v>
      </c>
      <c r="F81" s="7">
        <v>6.37</v>
      </c>
      <c r="G81" s="8">
        <v>7.88</v>
      </c>
    </row>
    <row r="82" spans="1:7" x14ac:dyDescent="0.25">
      <c r="A82" s="11" t="s">
        <v>87</v>
      </c>
      <c r="B82" s="6">
        <v>1.55</v>
      </c>
      <c r="C82" s="6">
        <v>1.55</v>
      </c>
      <c r="D82" s="7">
        <v>3.11</v>
      </c>
      <c r="E82" s="7">
        <v>4.66</v>
      </c>
      <c r="F82" s="7">
        <v>6.22</v>
      </c>
      <c r="G82" s="8">
        <v>7.78</v>
      </c>
    </row>
    <row r="83" spans="1:7" x14ac:dyDescent="0.25">
      <c r="A83" s="11" t="s">
        <v>88</v>
      </c>
      <c r="B83" s="6">
        <v>2.06</v>
      </c>
      <c r="C83" s="7">
        <v>2.06</v>
      </c>
      <c r="D83" s="7">
        <v>4.38</v>
      </c>
      <c r="E83" s="7">
        <v>5.58</v>
      </c>
      <c r="F83" s="7">
        <v>7.42</v>
      </c>
      <c r="G83" s="8">
        <v>9.4</v>
      </c>
    </row>
    <row r="84" spans="1:7" x14ac:dyDescent="0.25">
      <c r="A84" s="11" t="s">
        <v>89</v>
      </c>
      <c r="B84" s="6">
        <v>2.06</v>
      </c>
      <c r="C84" s="7">
        <v>2.06</v>
      </c>
      <c r="D84" s="7">
        <v>4.38</v>
      </c>
      <c r="E84" s="7">
        <v>5.58</v>
      </c>
      <c r="F84" s="7">
        <v>7.42</v>
      </c>
      <c r="G84" s="8">
        <v>9.4</v>
      </c>
    </row>
    <row r="85" spans="1:7" x14ac:dyDescent="0.25">
      <c r="A85" s="11" t="s">
        <v>90</v>
      </c>
      <c r="B85" s="6">
        <v>2.0499999999999998</v>
      </c>
      <c r="C85" s="6">
        <v>2.0499999999999998</v>
      </c>
      <c r="D85" s="7">
        <v>3.25</v>
      </c>
      <c r="E85" s="7">
        <v>4.38</v>
      </c>
      <c r="F85" s="7">
        <v>5.81</v>
      </c>
      <c r="G85" s="7">
        <v>6.9</v>
      </c>
    </row>
    <row r="86" spans="1:7" x14ac:dyDescent="0.25">
      <c r="A86" s="11" t="s">
        <v>91</v>
      </c>
      <c r="B86" s="6">
        <v>2.0499999999999998</v>
      </c>
      <c r="C86" s="6">
        <v>2.0499999999999998</v>
      </c>
      <c r="D86" s="7">
        <v>3.25</v>
      </c>
      <c r="E86" s="7">
        <v>4.38</v>
      </c>
      <c r="F86" s="7">
        <v>5.81</v>
      </c>
      <c r="G86" s="7">
        <v>6.9</v>
      </c>
    </row>
    <row r="87" spans="1:7" x14ac:dyDescent="0.25">
      <c r="A87" s="11" t="s">
        <v>92</v>
      </c>
      <c r="B87" s="6">
        <v>0.48</v>
      </c>
      <c r="C87" s="7">
        <v>0.67</v>
      </c>
      <c r="D87" s="7">
        <v>1.9</v>
      </c>
      <c r="E87" s="7">
        <v>4.08</v>
      </c>
      <c r="F87" s="7">
        <v>5.12</v>
      </c>
      <c r="G87" s="8">
        <v>6.11</v>
      </c>
    </row>
    <row r="88" spans="1:7" x14ac:dyDescent="0.25">
      <c r="A88" s="11" t="s">
        <v>93</v>
      </c>
      <c r="B88" s="6">
        <v>0.74</v>
      </c>
      <c r="C88" s="7">
        <v>1.67</v>
      </c>
      <c r="D88" s="7">
        <v>3.45</v>
      </c>
      <c r="E88" s="7">
        <v>4.9000000000000004</v>
      </c>
      <c r="F88" s="7">
        <v>6.37</v>
      </c>
      <c r="G88" s="8">
        <v>7.88</v>
      </c>
    </row>
    <row r="89" spans="1:7" x14ac:dyDescent="0.25">
      <c r="A89" s="11" t="s">
        <v>94</v>
      </c>
      <c r="B89" s="6">
        <v>0.74</v>
      </c>
      <c r="C89" s="7">
        <v>1.67</v>
      </c>
      <c r="D89" s="7">
        <v>3.45</v>
      </c>
      <c r="E89" s="7">
        <v>4.9000000000000004</v>
      </c>
      <c r="F89" s="7">
        <v>6.37</v>
      </c>
      <c r="G89" s="8">
        <v>7.88</v>
      </c>
    </row>
    <row r="90" spans="1:7" x14ac:dyDescent="0.25">
      <c r="A90" s="11" t="s">
        <v>95</v>
      </c>
      <c r="B90" s="6">
        <v>2</v>
      </c>
      <c r="C90" s="7">
        <v>2</v>
      </c>
      <c r="D90" s="7">
        <v>3.15</v>
      </c>
      <c r="E90" s="7">
        <v>4.5999999999999996</v>
      </c>
      <c r="F90" s="7">
        <v>5.75</v>
      </c>
      <c r="G90" s="8">
        <v>7.4</v>
      </c>
    </row>
    <row r="91" spans="1:7" x14ac:dyDescent="0.25">
      <c r="A91" s="11" t="s">
        <v>96</v>
      </c>
      <c r="B91" s="6">
        <v>1.76</v>
      </c>
      <c r="C91" s="7">
        <v>1.76</v>
      </c>
      <c r="D91" s="7">
        <v>3.38</v>
      </c>
      <c r="E91" s="7">
        <v>4.7</v>
      </c>
      <c r="F91" s="7">
        <v>6.6</v>
      </c>
      <c r="G91" s="8">
        <v>7.77</v>
      </c>
    </row>
    <row r="92" spans="1:7" x14ac:dyDescent="0.25">
      <c r="A92" s="11" t="s">
        <v>97</v>
      </c>
      <c r="B92" s="6">
        <v>1.76</v>
      </c>
      <c r="C92" s="7">
        <v>1.76</v>
      </c>
      <c r="D92" s="7">
        <v>3.38</v>
      </c>
      <c r="E92" s="7">
        <v>4.7</v>
      </c>
      <c r="F92" s="7">
        <v>6.6</v>
      </c>
      <c r="G92" s="8">
        <v>7.77</v>
      </c>
    </row>
    <row r="93" spans="1:7" x14ac:dyDescent="0.25">
      <c r="A93" s="11" t="s">
        <v>98</v>
      </c>
      <c r="B93" s="6">
        <v>2.2599999999999998</v>
      </c>
      <c r="C93" s="7">
        <v>3.12</v>
      </c>
      <c r="D93" s="7">
        <v>4.63</v>
      </c>
      <c r="E93" s="7">
        <v>5.36</v>
      </c>
      <c r="F93" s="7">
        <v>6.71</v>
      </c>
      <c r="G93" s="8">
        <v>8.23</v>
      </c>
    </row>
    <row r="94" spans="1:7" x14ac:dyDescent="0.25">
      <c r="A94" s="11" t="s">
        <v>99</v>
      </c>
      <c r="B94" s="6">
        <v>2.2599999999999998</v>
      </c>
      <c r="C94" s="7">
        <v>3.12</v>
      </c>
      <c r="D94" s="7">
        <v>4.63</v>
      </c>
      <c r="E94" s="7">
        <v>5.36</v>
      </c>
      <c r="F94" s="7">
        <v>6.71</v>
      </c>
      <c r="G94" s="8">
        <v>8.23</v>
      </c>
    </row>
    <row r="95" spans="1:7" x14ac:dyDescent="0.25">
      <c r="A95" s="11" t="s">
        <v>100</v>
      </c>
      <c r="B95" s="6">
        <v>2.2599999999999998</v>
      </c>
      <c r="C95" s="7">
        <v>3.12</v>
      </c>
      <c r="D95" s="7">
        <v>4.63</v>
      </c>
      <c r="E95" s="7">
        <v>5.36</v>
      </c>
      <c r="F95" s="7">
        <v>6.71</v>
      </c>
      <c r="G95" s="8">
        <v>8.23</v>
      </c>
    </row>
    <row r="96" spans="1:7" x14ac:dyDescent="0.25">
      <c r="A96" s="11" t="s">
        <v>101</v>
      </c>
      <c r="B96" s="6">
        <v>2.2599999999999998</v>
      </c>
      <c r="C96" s="7">
        <v>3.12</v>
      </c>
      <c r="D96" s="7">
        <v>4.63</v>
      </c>
      <c r="E96" s="7">
        <v>5.36</v>
      </c>
      <c r="F96" s="7">
        <v>6.71</v>
      </c>
      <c r="G96" s="8">
        <v>8.23</v>
      </c>
    </row>
    <row r="97" spans="1:7" x14ac:dyDescent="0.25">
      <c r="A97" s="11" t="s">
        <v>102</v>
      </c>
      <c r="B97" s="6">
        <v>2.2599999999999998</v>
      </c>
      <c r="C97" s="7">
        <v>3.12</v>
      </c>
      <c r="D97" s="7">
        <v>4.63</v>
      </c>
      <c r="E97" s="7">
        <v>5.36</v>
      </c>
      <c r="F97" s="7">
        <v>6.71</v>
      </c>
      <c r="G97" s="8">
        <v>8.23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D759-D925-4D7C-899E-6DF85BA07E29}">
  <dimension ref="A1:B97"/>
  <sheetViews>
    <sheetView tabSelected="1" workbookViewId="0"/>
  </sheetViews>
  <sheetFormatPr baseColWidth="10" defaultRowHeight="15" x14ac:dyDescent="0.25"/>
  <cols>
    <col min="1" max="1" width="12.85546875" bestFit="1" customWidth="1"/>
    <col min="2" max="2" width="7.42578125" bestFit="1" customWidth="1"/>
  </cols>
  <sheetData>
    <row r="1" spans="1:2" ht="30" x14ac:dyDescent="0.25">
      <c r="A1" s="10" t="s">
        <v>0</v>
      </c>
      <c r="B1" s="12" t="s">
        <v>110</v>
      </c>
    </row>
    <row r="2" spans="1:2" x14ac:dyDescent="0.25">
      <c r="A2" s="11" t="s">
        <v>7</v>
      </c>
      <c r="B2" s="13">
        <v>0.75</v>
      </c>
    </row>
    <row r="3" spans="1:2" x14ac:dyDescent="0.25">
      <c r="A3" s="11" t="s">
        <v>8</v>
      </c>
      <c r="B3" s="13">
        <v>3.5999999999999996</v>
      </c>
    </row>
    <row r="4" spans="1:2" x14ac:dyDescent="0.25">
      <c r="A4" s="11" t="s">
        <v>9</v>
      </c>
      <c r="B4" s="13">
        <v>0.75</v>
      </c>
    </row>
    <row r="5" spans="1:2" x14ac:dyDescent="0.25">
      <c r="A5" s="11" t="s">
        <v>10</v>
      </c>
      <c r="B5" s="13">
        <v>1.7999999999999989</v>
      </c>
    </row>
    <row r="6" spans="1:2" x14ac:dyDescent="0.25">
      <c r="A6" s="11" t="s">
        <v>11</v>
      </c>
      <c r="B6" s="13">
        <v>1.7999999999999989</v>
      </c>
    </row>
    <row r="7" spans="1:2" x14ac:dyDescent="0.25">
      <c r="A7" s="11" t="s">
        <v>12</v>
      </c>
      <c r="B7" s="13">
        <v>1.7999999999999989</v>
      </c>
    </row>
    <row r="8" spans="1:2" x14ac:dyDescent="0.25">
      <c r="A8" s="11" t="s">
        <v>13</v>
      </c>
      <c r="B8" s="13">
        <v>1.0999999999999996</v>
      </c>
    </row>
    <row r="9" spans="1:2" x14ac:dyDescent="0.25">
      <c r="A9" s="11" t="s">
        <v>14</v>
      </c>
      <c r="B9" s="13">
        <v>1.4000000000000004</v>
      </c>
    </row>
    <row r="10" spans="1:2" x14ac:dyDescent="0.25">
      <c r="A10" s="11" t="s">
        <v>15</v>
      </c>
      <c r="B10" s="13">
        <v>2.5999999999999996</v>
      </c>
    </row>
    <row r="11" spans="1:2" x14ac:dyDescent="0.25">
      <c r="A11" s="11" t="s">
        <v>16</v>
      </c>
      <c r="B11" s="13">
        <v>1.4000000000000004</v>
      </c>
    </row>
    <row r="12" spans="1:2" x14ac:dyDescent="0.25">
      <c r="A12" s="11" t="s">
        <v>17</v>
      </c>
      <c r="B12" s="13">
        <v>2.5999999999999996</v>
      </c>
    </row>
    <row r="13" spans="1:2" x14ac:dyDescent="0.25">
      <c r="A13" s="11" t="s">
        <v>18</v>
      </c>
      <c r="B13" s="13">
        <v>2.5999999999999996</v>
      </c>
    </row>
    <row r="14" spans="1:2" x14ac:dyDescent="0.25">
      <c r="A14" s="11" t="s">
        <v>19</v>
      </c>
      <c r="B14" s="13">
        <v>1.7999999999999989</v>
      </c>
    </row>
    <row r="15" spans="1:2" x14ac:dyDescent="0.25">
      <c r="A15" s="11" t="s">
        <v>20</v>
      </c>
      <c r="B15" s="13">
        <v>1.5999999999999996</v>
      </c>
    </row>
    <row r="16" spans="1:2" x14ac:dyDescent="0.25">
      <c r="A16" s="11" t="s">
        <v>21</v>
      </c>
      <c r="B16" s="13">
        <v>0.75</v>
      </c>
    </row>
    <row r="17" spans="1:2" x14ac:dyDescent="0.25">
      <c r="A17" s="11" t="s">
        <v>22</v>
      </c>
      <c r="B17" s="13">
        <v>0.79999999999999893</v>
      </c>
    </row>
    <row r="18" spans="1:2" x14ac:dyDescent="0.25">
      <c r="A18" s="11" t="s">
        <v>23</v>
      </c>
      <c r="B18" s="13">
        <v>0.79999999999999893</v>
      </c>
    </row>
    <row r="19" spans="1:2" x14ac:dyDescent="0.25">
      <c r="A19" s="11" t="s">
        <v>24</v>
      </c>
      <c r="B19" s="13">
        <v>0.59999999999999964</v>
      </c>
    </row>
    <row r="20" spans="1:2" x14ac:dyDescent="0.25">
      <c r="A20" s="11" t="s">
        <v>25</v>
      </c>
      <c r="B20" s="13">
        <v>0.79999999999999893</v>
      </c>
    </row>
    <row r="21" spans="1:2" x14ac:dyDescent="0.25">
      <c r="A21" s="11" t="s">
        <v>26</v>
      </c>
      <c r="B21" s="13">
        <v>1.0399999999999991</v>
      </c>
    </row>
    <row r="22" spans="1:2" x14ac:dyDescent="0.25">
      <c r="A22" s="11" t="s">
        <v>27</v>
      </c>
      <c r="B22" s="13">
        <v>1.9000000000000004</v>
      </c>
    </row>
    <row r="23" spans="1:2" x14ac:dyDescent="0.25">
      <c r="A23" s="11" t="s">
        <v>28</v>
      </c>
      <c r="B23" s="13">
        <v>0.79999999999999893</v>
      </c>
    </row>
    <row r="24" spans="1:2" x14ac:dyDescent="0.25">
      <c r="A24" s="11" t="s">
        <v>29</v>
      </c>
      <c r="B24" s="13">
        <v>0.79999999999999893</v>
      </c>
    </row>
    <row r="25" spans="1:2" x14ac:dyDescent="0.25">
      <c r="A25" s="11" t="s">
        <v>30</v>
      </c>
      <c r="B25" s="13">
        <v>1.0399999999999991</v>
      </c>
    </row>
    <row r="26" spans="1:2" x14ac:dyDescent="0.25">
      <c r="A26" s="11" t="s">
        <v>31</v>
      </c>
      <c r="B26" s="13">
        <v>1.0999999999999996</v>
      </c>
    </row>
    <row r="27" spans="1:2" x14ac:dyDescent="0.25">
      <c r="A27" s="11" t="s">
        <v>32</v>
      </c>
      <c r="B27" s="13">
        <v>1.5999999999999996</v>
      </c>
    </row>
    <row r="28" spans="1:2" x14ac:dyDescent="0.25">
      <c r="A28" s="11" t="s">
        <v>33</v>
      </c>
      <c r="B28" s="13">
        <v>0.59999999999999964</v>
      </c>
    </row>
    <row r="29" spans="1:2" x14ac:dyDescent="0.25">
      <c r="A29" s="11" t="s">
        <v>34</v>
      </c>
      <c r="B29" s="13">
        <v>1.9000000000000004</v>
      </c>
    </row>
    <row r="30" spans="1:2" x14ac:dyDescent="0.25">
      <c r="A30" s="11" t="s">
        <v>35</v>
      </c>
      <c r="B30" s="13">
        <v>0</v>
      </c>
    </row>
    <row r="31" spans="1:2" x14ac:dyDescent="0.25">
      <c r="A31" s="11" t="s">
        <v>36</v>
      </c>
      <c r="B31" s="13">
        <v>0</v>
      </c>
    </row>
    <row r="32" spans="1:2" x14ac:dyDescent="0.25">
      <c r="A32" s="11" t="s">
        <v>37</v>
      </c>
      <c r="B32" s="13">
        <v>2.5999999999999996</v>
      </c>
    </row>
    <row r="33" spans="1:2" x14ac:dyDescent="0.25">
      <c r="A33" s="11" t="s">
        <v>38</v>
      </c>
      <c r="B33" s="13">
        <v>2.5999999999999996</v>
      </c>
    </row>
    <row r="34" spans="1:2" x14ac:dyDescent="0.25">
      <c r="A34" s="11" t="s">
        <v>39</v>
      </c>
      <c r="B34" s="13">
        <v>2.5999999999999996</v>
      </c>
    </row>
    <row r="35" spans="1:2" x14ac:dyDescent="0.25">
      <c r="A35" s="11" t="s">
        <v>40</v>
      </c>
      <c r="B35" s="13">
        <v>0.79999999999999893</v>
      </c>
    </row>
    <row r="36" spans="1:2" x14ac:dyDescent="0.25">
      <c r="A36" s="11" t="s">
        <v>41</v>
      </c>
      <c r="B36" s="13">
        <v>2.5999999999999996</v>
      </c>
    </row>
    <row r="37" spans="1:2" x14ac:dyDescent="0.25">
      <c r="A37" s="11" t="s">
        <v>42</v>
      </c>
      <c r="B37" s="13">
        <v>1.9000000000000004</v>
      </c>
    </row>
    <row r="38" spans="1:2" x14ac:dyDescent="0.25">
      <c r="A38" s="11" t="s">
        <v>43</v>
      </c>
      <c r="B38" s="13">
        <v>0.59999999999999964</v>
      </c>
    </row>
    <row r="39" spans="1:2" x14ac:dyDescent="0.25">
      <c r="A39" s="11" t="s">
        <v>44</v>
      </c>
      <c r="B39" s="13">
        <v>0.59999999999999964</v>
      </c>
    </row>
    <row r="40" spans="1:2" x14ac:dyDescent="0.25">
      <c r="A40" s="11" t="s">
        <v>45</v>
      </c>
      <c r="B40" s="13">
        <v>1.42</v>
      </c>
    </row>
    <row r="41" spans="1:2" x14ac:dyDescent="0.25">
      <c r="A41" s="11" t="s">
        <v>46</v>
      </c>
      <c r="B41" s="13">
        <v>1.0399999999999991</v>
      </c>
    </row>
    <row r="42" spans="1:2" x14ac:dyDescent="0.25">
      <c r="A42" s="11" t="s">
        <v>47</v>
      </c>
      <c r="B42" s="13">
        <v>0.79999999999999893</v>
      </c>
    </row>
    <row r="43" spans="1:2" x14ac:dyDescent="0.25">
      <c r="A43" s="11" t="s">
        <v>48</v>
      </c>
      <c r="B43" s="13">
        <v>0.59999999999999964</v>
      </c>
    </row>
    <row r="44" spans="1:2" x14ac:dyDescent="0.25">
      <c r="A44" s="11" t="s">
        <v>49</v>
      </c>
      <c r="B44" s="13">
        <v>1.3599999999999994</v>
      </c>
    </row>
    <row r="45" spans="1:2" x14ac:dyDescent="0.25">
      <c r="A45" s="11" t="s">
        <v>50</v>
      </c>
      <c r="B45" s="13">
        <v>0.75</v>
      </c>
    </row>
    <row r="46" spans="1:2" x14ac:dyDescent="0.25">
      <c r="A46" s="11" t="s">
        <v>51</v>
      </c>
      <c r="B46" s="13">
        <v>1.0999999999999996</v>
      </c>
    </row>
    <row r="47" spans="1:2" x14ac:dyDescent="0.25">
      <c r="A47" s="11" t="s">
        <v>52</v>
      </c>
      <c r="B47" s="13">
        <v>0.59999999999999964</v>
      </c>
    </row>
    <row r="48" spans="1:2" x14ac:dyDescent="0.25">
      <c r="A48" s="11" t="s">
        <v>53</v>
      </c>
      <c r="B48" s="13">
        <v>2.5999999999999996</v>
      </c>
    </row>
    <row r="49" spans="1:2" x14ac:dyDescent="0.25">
      <c r="A49" s="11" t="s">
        <v>54</v>
      </c>
      <c r="B49" s="13">
        <v>0.79999999999999893</v>
      </c>
    </row>
    <row r="50" spans="1:2" x14ac:dyDescent="0.25">
      <c r="A50" s="11" t="s">
        <v>55</v>
      </c>
      <c r="B50" s="13">
        <v>2.5999999999999996</v>
      </c>
    </row>
    <row r="51" spans="1:2" x14ac:dyDescent="0.25">
      <c r="A51" s="11" t="s">
        <v>56</v>
      </c>
      <c r="B51" s="13">
        <v>1.0999999999999996</v>
      </c>
    </row>
    <row r="52" spans="1:2" x14ac:dyDescent="0.25">
      <c r="A52" s="11" t="s">
        <v>57</v>
      </c>
      <c r="B52" s="13">
        <v>1.5999999999999996</v>
      </c>
    </row>
    <row r="53" spans="1:2" x14ac:dyDescent="0.25">
      <c r="A53" s="11" t="s">
        <v>58</v>
      </c>
      <c r="B53" s="13">
        <v>1.4000000000000004</v>
      </c>
    </row>
    <row r="54" spans="1:2" x14ac:dyDescent="0.25">
      <c r="A54" s="11" t="s">
        <v>59</v>
      </c>
      <c r="B54" s="13">
        <v>1.4000000000000004</v>
      </c>
    </row>
    <row r="55" spans="1:2" x14ac:dyDescent="0.25">
      <c r="A55" s="11" t="s">
        <v>60</v>
      </c>
      <c r="B55" s="13">
        <v>1.0999999999999996</v>
      </c>
    </row>
    <row r="56" spans="1:2" x14ac:dyDescent="0.25">
      <c r="A56" s="11" t="s">
        <v>61</v>
      </c>
      <c r="B56" s="13">
        <v>1.4000000000000004</v>
      </c>
    </row>
    <row r="57" spans="1:2" x14ac:dyDescent="0.25">
      <c r="A57" s="11" t="s">
        <v>62</v>
      </c>
      <c r="B57" s="13">
        <v>1.4000000000000004</v>
      </c>
    </row>
    <row r="58" spans="1:2" x14ac:dyDescent="0.25">
      <c r="A58" s="11" t="s">
        <v>63</v>
      </c>
      <c r="B58" s="13">
        <v>1.9000000000000004</v>
      </c>
    </row>
    <row r="59" spans="1:2" x14ac:dyDescent="0.25">
      <c r="A59" s="11" t="s">
        <v>64</v>
      </c>
      <c r="B59" s="13">
        <v>1.4000000000000004</v>
      </c>
    </row>
    <row r="60" spans="1:2" x14ac:dyDescent="0.25">
      <c r="A60" s="11" t="s">
        <v>65</v>
      </c>
      <c r="B60" s="13">
        <v>1.0399999999999991</v>
      </c>
    </row>
    <row r="61" spans="1:2" x14ac:dyDescent="0.25">
      <c r="A61" s="11" t="s">
        <v>66</v>
      </c>
      <c r="B61" s="13">
        <v>3.5999999999999996</v>
      </c>
    </row>
    <row r="62" spans="1:2" x14ac:dyDescent="0.25">
      <c r="A62" s="11" t="s">
        <v>67</v>
      </c>
      <c r="B62" s="13">
        <v>3.5999999999999996</v>
      </c>
    </row>
    <row r="63" spans="1:2" x14ac:dyDescent="0.25">
      <c r="A63" s="11" t="s">
        <v>68</v>
      </c>
      <c r="B63" s="13">
        <v>1.5999999999999996</v>
      </c>
    </row>
    <row r="64" spans="1:2" x14ac:dyDescent="0.25">
      <c r="A64" s="11" t="s">
        <v>69</v>
      </c>
      <c r="B64" s="13">
        <v>3.5999999999999996</v>
      </c>
    </row>
    <row r="65" spans="1:2" x14ac:dyDescent="0.25">
      <c r="A65" s="11" t="s">
        <v>70</v>
      </c>
      <c r="B65" s="13">
        <v>0.75</v>
      </c>
    </row>
    <row r="66" spans="1:2" x14ac:dyDescent="0.25">
      <c r="A66" s="11" t="s">
        <v>71</v>
      </c>
      <c r="B66" s="13">
        <v>0.79999999999999893</v>
      </c>
    </row>
    <row r="67" spans="1:2" x14ac:dyDescent="0.25">
      <c r="A67" s="11" t="s">
        <v>72</v>
      </c>
      <c r="B67" s="13">
        <v>2.5999999999999996</v>
      </c>
    </row>
    <row r="68" spans="1:2" x14ac:dyDescent="0.25">
      <c r="A68" s="11" t="s">
        <v>73</v>
      </c>
      <c r="B68" s="13">
        <v>2.5999999999999996</v>
      </c>
    </row>
    <row r="69" spans="1:2" x14ac:dyDescent="0.25">
      <c r="A69" s="11" t="s">
        <v>74</v>
      </c>
      <c r="B69" s="13">
        <v>1.4000000000000004</v>
      </c>
    </row>
    <row r="70" spans="1:2" x14ac:dyDescent="0.25">
      <c r="A70" s="11" t="s">
        <v>75</v>
      </c>
      <c r="B70" s="13">
        <v>1.4000000000000004</v>
      </c>
    </row>
    <row r="71" spans="1:2" x14ac:dyDescent="0.25">
      <c r="A71" s="11" t="s">
        <v>76</v>
      </c>
      <c r="B71" s="13">
        <v>1.42</v>
      </c>
    </row>
    <row r="72" spans="1:2" x14ac:dyDescent="0.25">
      <c r="A72" s="11" t="s">
        <v>77</v>
      </c>
      <c r="B72" s="13">
        <v>1.0399999999999991</v>
      </c>
    </row>
    <row r="73" spans="1:2" x14ac:dyDescent="0.25">
      <c r="A73" s="11" t="s">
        <v>78</v>
      </c>
      <c r="B73" s="13">
        <v>1.0399999999999991</v>
      </c>
    </row>
    <row r="74" spans="1:2" x14ac:dyDescent="0.25">
      <c r="A74" s="11" t="s">
        <v>79</v>
      </c>
      <c r="B74" s="13">
        <v>1.0999999999999996</v>
      </c>
    </row>
    <row r="75" spans="1:2" x14ac:dyDescent="0.25">
      <c r="A75" s="11" t="s">
        <v>80</v>
      </c>
      <c r="B75" s="13">
        <v>1.4000000000000004</v>
      </c>
    </row>
    <row r="76" spans="1:2" x14ac:dyDescent="0.25">
      <c r="A76" s="11" t="s">
        <v>81</v>
      </c>
      <c r="B76" s="13">
        <v>1.629999999999999</v>
      </c>
    </row>
    <row r="77" spans="1:2" x14ac:dyDescent="0.25">
      <c r="A77" s="11" t="s">
        <v>82</v>
      </c>
      <c r="B77" s="13">
        <v>1.1999999999999993</v>
      </c>
    </row>
    <row r="78" spans="1:2" x14ac:dyDescent="0.25">
      <c r="A78" s="11" t="s">
        <v>83</v>
      </c>
      <c r="B78" s="13">
        <v>1.5999999999999996</v>
      </c>
    </row>
    <row r="79" spans="1:2" x14ac:dyDescent="0.25">
      <c r="A79" s="11" t="s">
        <v>84</v>
      </c>
      <c r="B79" s="13">
        <v>1.1999999999999993</v>
      </c>
    </row>
    <row r="80" spans="1:2" x14ac:dyDescent="0.25">
      <c r="A80" s="11" t="s">
        <v>85</v>
      </c>
      <c r="B80" s="13">
        <v>1.1999999999999993</v>
      </c>
    </row>
    <row r="81" spans="1:2" x14ac:dyDescent="0.25">
      <c r="A81" s="11" t="s">
        <v>86</v>
      </c>
      <c r="B81" s="13">
        <v>0.79999999999999893</v>
      </c>
    </row>
    <row r="82" spans="1:2" x14ac:dyDescent="0.25">
      <c r="A82" s="11" t="s">
        <v>87</v>
      </c>
      <c r="B82" s="13">
        <v>3.5999999999999996</v>
      </c>
    </row>
    <row r="83" spans="1:2" x14ac:dyDescent="0.25">
      <c r="A83" s="11" t="s">
        <v>88</v>
      </c>
      <c r="B83" s="13">
        <v>2.5999999999999996</v>
      </c>
    </row>
    <row r="84" spans="1:2" x14ac:dyDescent="0.25">
      <c r="A84" s="11" t="s">
        <v>89</v>
      </c>
      <c r="B84" s="13">
        <v>2.5999999999999996</v>
      </c>
    </row>
    <row r="85" spans="1:2" x14ac:dyDescent="0.25">
      <c r="A85" s="11" t="s">
        <v>90</v>
      </c>
      <c r="B85" s="13">
        <v>1.7999999999999989</v>
      </c>
    </row>
    <row r="86" spans="1:2" x14ac:dyDescent="0.25">
      <c r="A86" s="11" t="s">
        <v>91</v>
      </c>
      <c r="B86" s="13">
        <v>1.7999999999999989</v>
      </c>
    </row>
    <row r="87" spans="1:2" x14ac:dyDescent="0.25">
      <c r="A87" s="11" t="s">
        <v>92</v>
      </c>
      <c r="B87" s="13">
        <v>1.0999999999999996</v>
      </c>
    </row>
    <row r="88" spans="1:2" x14ac:dyDescent="0.25">
      <c r="A88" s="11" t="s">
        <v>93</v>
      </c>
      <c r="B88" s="13">
        <v>0.79999999999999893</v>
      </c>
    </row>
    <row r="89" spans="1:2" x14ac:dyDescent="0.25">
      <c r="A89" s="11" t="s">
        <v>94</v>
      </c>
      <c r="B89" s="13">
        <v>0.79999999999999893</v>
      </c>
    </row>
    <row r="90" spans="1:2" x14ac:dyDescent="0.25">
      <c r="A90" s="11" t="s">
        <v>95</v>
      </c>
      <c r="B90" s="13">
        <v>1.4000000000000004</v>
      </c>
    </row>
    <row r="91" spans="1:2" x14ac:dyDescent="0.25">
      <c r="A91" s="11" t="s">
        <v>96</v>
      </c>
      <c r="B91" s="13">
        <v>1.0399999999999991</v>
      </c>
    </row>
    <row r="92" spans="1:2" x14ac:dyDescent="0.25">
      <c r="A92" s="11" t="s">
        <v>97</v>
      </c>
      <c r="B92" s="13">
        <v>1.0399999999999991</v>
      </c>
    </row>
    <row r="93" spans="1:2" x14ac:dyDescent="0.25">
      <c r="A93" s="11" t="s">
        <v>98</v>
      </c>
      <c r="B93" s="13">
        <v>1.1999999999999993</v>
      </c>
    </row>
    <row r="94" spans="1:2" x14ac:dyDescent="0.25">
      <c r="A94" s="11" t="s">
        <v>99</v>
      </c>
      <c r="B94" s="13">
        <v>1.1999999999999993</v>
      </c>
    </row>
    <row r="95" spans="1:2" x14ac:dyDescent="0.25">
      <c r="A95" s="11" t="s">
        <v>100</v>
      </c>
      <c r="B95" s="13">
        <v>1.1999999999999993</v>
      </c>
    </row>
    <row r="96" spans="1:2" x14ac:dyDescent="0.25">
      <c r="A96" s="11" t="s">
        <v>101</v>
      </c>
      <c r="B96" s="13">
        <v>1.1999999999999993</v>
      </c>
    </row>
    <row r="97" spans="1:2" x14ac:dyDescent="0.25">
      <c r="A97" s="11" t="s">
        <v>102</v>
      </c>
      <c r="B97" s="13">
        <v>1.1999999999999993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Taux_Horaires</vt:lpstr>
      <vt:lpstr>Transport</vt:lpstr>
      <vt:lpstr>Trajet_Brut</vt:lpstr>
      <vt:lpstr>Repas_Soumis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ROGER</dc:creator>
  <cp:lastModifiedBy>Philippe ROGER</cp:lastModifiedBy>
  <dcterms:created xsi:type="dcterms:W3CDTF">2015-06-05T18:17:20Z</dcterms:created>
  <dcterms:modified xsi:type="dcterms:W3CDTF">2026-02-04T12:31:39Z</dcterms:modified>
</cp:coreProperties>
</file>